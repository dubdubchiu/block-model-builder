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Timeline" sheetId="2" state="visible" r:id="rId4"/>
    <sheet name="Drivers" sheetId="3" state="visible" r:id="rId5"/>
    <sheet name="Driver_Series" sheetId="4" state="visible" r:id="rId6"/>
    <sheet name="Calculations" sheetId="5" state="visible" r:id="rId7"/>
    <sheet name="Annual" sheetId="6" state="visible" r:id="rId8"/>
    <sheet name="Expected" sheetId="7" state="visible" r:id="rId9"/>
    <sheet name="Expected_Annual" sheetId="8" state="visible" r:id="rId10"/>
    <sheet name="Report" sheetId="9" state="visible" r:id="rId11"/>
  </sheets>
  <definedNames>
    <definedName function="false" hidden="true" localSheetId="4" name="_xlnm._FilterDatabase" vbProcedure="false">Calculations!$A$1:$H$82</definedName>
    <definedName function="false" hidden="true" localSheetId="2" name="_xlnm._FilterDatabase" vbProcedure="false">Drivers!$A$1:$J$40</definedName>
    <definedName function="false" hidden="false" name="annual_prepay_share" vbProcedure="false">Drivers!$F$31</definedName>
    <definedName function="false" hidden="false" name="ap_days" vbProcedure="false">Drivers!$F$29</definedName>
    <definedName function="false" hidden="false" name="arpa_monthly" vbProcedure="false">Drivers!$F$8</definedName>
    <definedName function="false" hidden="false" name="ar_days" vbProcedure="false">Drivers!$F$28</definedName>
    <definedName function="false" hidden="false" name="asset_life_q" vbProcedure="false">Drivers!$F$27</definedName>
    <definedName function="false" hidden="false" name="churn_rate_q" vbProcedure="false">Drivers!$F$7</definedName>
    <definedName function="false" hidden="false" name="customers_won_total" vbProcedure="false">Calculations!$I$68</definedName>
    <definedName function="false" hidden="false" name="customer_lifetime_quarters" vbProcedure="false">Calculations!$I$57</definedName>
    <definedName function="false" hidden="false" name="days_per_quarter" vbProcedure="false">Drivers!$F$30</definedName>
    <definedName function="false" hidden="false" name="deals_per_rep_q" vbProcedure="false">Drivers!$F$6</definedName>
    <definedName function="false" hidden="false" name="discount_rate_annual" vbProcedure="false">Drivers!$F$37</definedName>
    <definedName function="false" hidden="false" name="discount_rate_q" vbProcedure="false">Calculations!$I$69</definedName>
    <definedName function="false" hidden="false" name="engineer_cost_q" vbProcedure="false">Drivers!$F$17</definedName>
    <definedName function="false" hidden="false" name="fiscal_year_end" vbProcedure="false">Timeline!$B$6</definedName>
    <definedName function="false" hidden="false" name="frequency" vbProcedure="false">Timeline!$B$3</definedName>
    <definedName function="false" hidden="false" name="ga_cost_per_fte_q" vbProcedure="false">Drivers!$F$19</definedName>
    <definedName function="false" hidden="false" name="hosting_cost_monthly" vbProcedure="false">Drivers!$F$12</definedName>
    <definedName function="false" hidden="false" name="irr_annual" vbProcedure="false">Calculations!$I$82</definedName>
    <definedName function="false" hidden="false" name="irr_guess_q" vbProcedure="false">Drivers!$F$39</definedName>
    <definedName function="false" hidden="false" name="irr_quarterly" vbProcedure="false">Calculations!$I$81</definedName>
    <definedName function="false" hidden="false" name="maintenance_capex_pct" vbProcedure="false">Drivers!$F$26</definedName>
    <definedName function="false" hidden="false" name="marketing_cost_per_customer" vbProcedure="false">Drivers!$F$4</definedName>
    <definedName function="false" hidden="false" name="min_cash_balance" vbProcedure="false">Drivers!$F$36</definedName>
    <definedName function="false" hidden="false" name="months_per_period" vbProcedure="false">Timeline!$B$5</definedName>
    <definedName function="false" hidden="false" name="months_per_quarter" vbProcedure="false">Drivers!$F$10</definedName>
    <definedName function="false" hidden="false" name="months_per_year" vbProcedure="false">Drivers!$F$11</definedName>
    <definedName function="false" hidden="false" name="npv_check" vbProcedure="false">Calculations!$I$80</definedName>
    <definedName function="false" hidden="false" name="npv_value" vbProcedure="false">Calculations!$I$77</definedName>
    <definedName function="false" hidden="false" name="opening_cash" vbProcedure="false">Drivers!$F$34</definedName>
    <definedName function="false" hidden="false" name="opening_customers" vbProcedure="false">Drivers!$F$2</definedName>
    <definedName function="false" hidden="false" name="other_opex_growth_q" vbProcedure="false">Drivers!$F$21</definedName>
    <definedName function="false" hidden="false" name="other_opex_initial_q" vbProcedure="false">Drivers!$F$20</definedName>
    <definedName function="false" hidden="false" name="payment_fees_pct" vbProcedure="false">Drivers!$F$14</definedName>
    <definedName function="false" hidden="false" name="periods" vbProcedure="false">Timeline!$B$4</definedName>
    <definedName function="false" hidden="false" name="platform_rebuild_cost" vbProcedure="false">Drivers!$F$22</definedName>
    <definedName function="false" hidden="false" name="platform_rebuild_periods" vbProcedure="false">Drivers!$F$24</definedName>
    <definedName function="false" hidden="false" name="platform_rebuild_start" vbProcedure="false">Drivers!$F$23</definedName>
    <definedName function="false" hidden="false" name="prepaid_quarters" vbProcedure="false">Drivers!$F$32</definedName>
    <definedName function="false" hidden="false" name="price_growth_annual" vbProcedure="false">Drivers!$F$9</definedName>
    <definedName function="false" hidden="false" name="price_growth_q" vbProcedure="false">Calculations!$I$13</definedName>
    <definedName function="false" hidden="false" name="sales_rep_cost_q" vbProcedure="false">Drivers!$F$15</definedName>
    <definedName function="false" hidden="false" name="start_date" vbProcedure="false">Timeline!$B$2</definedName>
    <definedName function="false" hidden="false" name="support_cost_pct" vbProcedure="false">Drivers!$F$13</definedName>
    <definedName function="false" hidden="false" name="tax_rate" vbProcedure="false">Drivers!$F$33</definedName>
    <definedName function="false" hidden="false" name="terminal_fcf" vbProcedure="false">Calculations!$I$73</definedName>
    <definedName function="false" hidden="false" name="terminal_growth_annual" vbProcedure="false">Drivers!$F$38</definedName>
    <definedName function="false" hidden="false" name="terminal_growth_q" vbProcedure="false">Calculations!$I$70</definedName>
    <definedName function="false" hidden="false" name="terminal_period" vbProcedure="false">Drivers!$F$40</definedName>
    <definedName function="false" hidden="false" name="terminal_value" vbProcedure="false">Calculations!$I$74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<sst xmlns="http://schemas.openxmlformats.org/spreadsheetml/2006/main" count="1372" uniqueCount="566">
  <si>
    <t xml:space="preserve">SaaS company reference model</t>
  </si>
  <si>
    <t xml:space="preserve">Reference model for the block model builder (acceptance test). Company-level, quarterly, 32 periods from 2027-01-01.</t>
  </si>
  <si>
    <t xml:space="preserve">All figures are illustrative. It describes a generic subscription software company, not a real one.</t>
  </si>
  <si>
    <t xml:space="preserve">Sheets</t>
  </si>
  <si>
    <t xml:space="preserve">Timeline: timeline settings and per-period built-ins (t, period_start, period_end, year).</t>
  </si>
  <si>
    <t xml:space="preserve">Drivers: scalar assumptions; each value cell is a defined name equal to its id. 'series' means see Driver_Series.</t>
  </si>
  <si>
    <t xml:space="preserve">Driver_Series: time-varying drivers, one row per id.</t>
  </si>
  <si>
    <t xml:space="preserve">Calculations: one row per derived line in dependency order. Column F is the DSL formula; the cells are the same logic as live Excel formulas.</t>
  </si>
  <si>
    <t xml:space="preserve">Annual: fiscal-year rollups via annual().</t>
  </si>
  <si>
    <t xml:space="preserve">Expected / Expected_Annual: acceptance outputs, linked live to Calculations and Annual. Compare at relative tolerance 1e-6.</t>
  </si>
  <si>
    <t xml:space="preserve">Report: lines for the exported summary worksheet, in order, with display format (values linked for preview).</t>
  </si>
  <si>
    <t xml:space="preserve">Layout on period sheets</t>
  </si>
  <si>
    <t xml:space="preserve">Row 1 holds t (1 to 32); row 2 holds the period label; data starts in row 3. Column I holds scalar values; columns J to AO are periods 1 to 32.</t>
  </si>
  <si>
    <t xml:space="preserve">Color conventions</t>
  </si>
  <si>
    <t xml:space="preserve">Blue text: hardcoded inputs. Black text: formulas. Green text: links to another sheet.</t>
  </si>
  <si>
    <t xml:space="preserve">Conventions</t>
  </si>
  <si>
    <t xml:space="preserve">Percentages stored as fractions. Costs positive and subtracted explicitly. Flows per period; balances end of period. No circular references.</t>
  </si>
  <si>
    <t xml:space="preserve">NPV convention: period t discounted by (1 + r)^t with t from 1, valued at the start of period 1 (Excel NPV).</t>
  </si>
  <si>
    <t xml:space="preserve">See the accompanying notes file for the narrative, sources, simplifications and new functions needed.</t>
  </si>
  <si>
    <t xml:space="preserve">id</t>
  </si>
  <si>
    <t xml:space="preserve">value</t>
  </si>
  <si>
    <t xml:space="preserve">notes</t>
  </si>
  <si>
    <t xml:space="preserve">start_date</t>
  </si>
  <si>
    <t xml:space="preserve">First day of period 1.</t>
  </si>
  <si>
    <t xml:space="preserve">frequency</t>
  </si>
  <si>
    <t xml:space="preserve">quarter</t>
  </si>
  <si>
    <t xml:space="preserve">Period length.</t>
  </si>
  <si>
    <t xml:space="preserve">periods</t>
  </si>
  <si>
    <t xml:space="preserve">Number of periods.</t>
  </si>
  <si>
    <t xml:space="preserve">months_per_period</t>
  </si>
  <si>
    <t xml:space="preserve">Follows from frequency (quarter = 3).</t>
  </si>
  <si>
    <t xml:space="preserve">fiscal_year_end</t>
  </si>
  <si>
    <t xml:space="preserve">12-31</t>
  </si>
  <si>
    <t xml:space="preserve">Fiscal year equals calendar year.</t>
  </si>
  <si>
    <t xml:space="preserve">Per-period built-ins (columns J onward are periods)</t>
  </si>
  <si>
    <t xml:space="preserve">t</t>
  </si>
  <si>
    <t xml:space="preserve">period_start</t>
  </si>
  <si>
    <t xml:space="preserve">period_end</t>
  </si>
  <si>
    <t xml:space="preserve">year</t>
  </si>
  <si>
    <t xml:space="preserve">label</t>
  </si>
  <si>
    <t xml:space="preserve">group</t>
  </si>
  <si>
    <t xml:space="preserve">type</t>
  </si>
  <si>
    <t xml:space="preserve">unit</t>
  </si>
  <si>
    <t xml:space="preserve">low</t>
  </si>
  <si>
    <t xml:space="preserve">high</t>
  </si>
  <si>
    <t xml:space="preserve">source</t>
  </si>
  <si>
    <t xml:space="preserve">opening_customers</t>
  </si>
  <si>
    <t xml:space="preserve">Customers at start of period 1</t>
  </si>
  <si>
    <t xml:space="preserve">Customers</t>
  </si>
  <si>
    <t xml:space="preserve">quantity</t>
  </si>
  <si>
    <t xml:space="preserve">customers</t>
  </si>
  <si>
    <t xml:space="preserve">illustrative</t>
  </si>
  <si>
    <t xml:space="preserve">marketing_spend</t>
  </si>
  <si>
    <t xml:space="preserve">Marketing spend</t>
  </si>
  <si>
    <t xml:space="preserve">series&lt;currency&gt;</t>
  </si>
  <si>
    <t xml:space="preserve">USD</t>
  </si>
  <si>
    <t xml:space="preserve">series</t>
  </si>
  <si>
    <t xml:space="preserve">Paid acquisition, events and content, per quarter.</t>
  </si>
  <si>
    <t xml:space="preserve">marketing_cost_per_customer</t>
  </si>
  <si>
    <t xml:space="preserve">Marketing cost per new customer</t>
  </si>
  <si>
    <t xml:space="preserve">currency</t>
  </si>
  <si>
    <t xml:space="preserve">USD/customer</t>
  </si>
  <si>
    <t xml:space="preserve">Marketing spend needed to win one customer; sales team cost is separate.</t>
  </si>
  <si>
    <t xml:space="preserve">sales_reps</t>
  </si>
  <si>
    <t xml:space="preserve">Quota-carrying sales reps</t>
  </si>
  <si>
    <t xml:space="preserve">series&lt;count&gt;</t>
  </si>
  <si>
    <t xml:space="preserve">FTE</t>
  </si>
  <si>
    <t xml:space="preserve">deals_per_rep_q</t>
  </si>
  <si>
    <t xml:space="preserve">Deals each rep can close per quarter</t>
  </si>
  <si>
    <t xml:space="preserve">float</t>
  </si>
  <si>
    <t xml:space="preserve">customers/FTE</t>
  </si>
  <si>
    <t xml:space="preserve">Caps new customers when the sales team, not marketing, is the constraint.</t>
  </si>
  <si>
    <t xml:space="preserve">churn_rate_q</t>
  </si>
  <si>
    <t xml:space="preserve">Quarterly customer churn</t>
  </si>
  <si>
    <t xml:space="preserve">percent</t>
  </si>
  <si>
    <t xml:space="preserve">fraction</t>
  </si>
  <si>
    <t xml:space="preserve">Share of customers at the start of a quarter who cancel during it.</t>
  </si>
  <si>
    <t xml:space="preserve">arpa_monthly</t>
  </si>
  <si>
    <t xml:space="preserve">Average revenue per account (monthly)</t>
  </si>
  <si>
    <t xml:space="preserve">Pricing</t>
  </si>
  <si>
    <t xml:space="preserve">List price net of discounts, per customer per month, in period 1.</t>
  </si>
  <si>
    <t xml:space="preserve">price_growth_annual</t>
  </si>
  <si>
    <t xml:space="preserve">Annual price increase</t>
  </si>
  <si>
    <t xml:space="preserve">months_per_quarter</t>
  </si>
  <si>
    <t xml:space="preserve">Months per quarter</t>
  </si>
  <si>
    <t xml:space="preserve">months</t>
  </si>
  <si>
    <t xml:space="preserve">Convention.</t>
  </si>
  <si>
    <t xml:space="preserve">months_per_year</t>
  </si>
  <si>
    <t xml:space="preserve">Months per year</t>
  </si>
  <si>
    <t xml:space="preserve">hosting_cost_monthly</t>
  </si>
  <si>
    <t xml:space="preserve">Hosting cost per customer (monthly)</t>
  </si>
  <si>
    <t xml:space="preserve">Cost of revenue</t>
  </si>
  <si>
    <t xml:space="preserve">Cloud infrastructure and third-party services per customer per month.</t>
  </si>
  <si>
    <t xml:space="preserve">support_cost_pct</t>
  </si>
  <si>
    <t xml:space="preserve">Customer support cost</t>
  </si>
  <si>
    <t xml:space="preserve">fraction of revenue</t>
  </si>
  <si>
    <t xml:space="preserve">payment_fees_pct</t>
  </si>
  <si>
    <t xml:space="preserve">Payment processing fees</t>
  </si>
  <si>
    <t xml:space="preserve">sales_rep_cost_q</t>
  </si>
  <si>
    <t xml:space="preserve">Loaded cost per sales rep</t>
  </si>
  <si>
    <t xml:space="preserve">Operating expenses</t>
  </si>
  <si>
    <t xml:space="preserve">USD/FTE</t>
  </si>
  <si>
    <t xml:space="preserve">Salary, commission and benefits per quarter.</t>
  </si>
  <si>
    <t xml:space="preserve">engineers</t>
  </si>
  <si>
    <t xml:space="preserve">Engineering headcount</t>
  </si>
  <si>
    <t xml:space="preserve">engineer_cost_q</t>
  </si>
  <si>
    <t xml:space="preserve">Loaded cost per engineer</t>
  </si>
  <si>
    <t xml:space="preserve">Per quarter.</t>
  </si>
  <si>
    <t xml:space="preserve">ga_headcount</t>
  </si>
  <si>
    <t xml:space="preserve">G&amp;A headcount</t>
  </si>
  <si>
    <t xml:space="preserve">Finance, people, legal and operations.</t>
  </si>
  <si>
    <t xml:space="preserve">ga_cost_per_fte_q</t>
  </si>
  <si>
    <t xml:space="preserve">Loaded cost per G&amp;A employee</t>
  </si>
  <si>
    <t xml:space="preserve">other_opex_initial_q</t>
  </si>
  <si>
    <t xml:space="preserve">Other operating costs, period 1</t>
  </si>
  <si>
    <t xml:space="preserve">Rent, software and professional fees.</t>
  </si>
  <si>
    <t xml:space="preserve">other_opex_growth_q</t>
  </si>
  <si>
    <t xml:space="preserve">Other operating cost growth per quarter</t>
  </si>
  <si>
    <t xml:space="preserve">platform_rebuild_cost</t>
  </si>
  <si>
    <t xml:space="preserve">Platform rebuild (one-time)</t>
  </si>
  <si>
    <t xml:space="preserve">A one-time re-architecture project, expensed as incurred.</t>
  </si>
  <si>
    <t xml:space="preserve">platform_rebuild_start</t>
  </si>
  <si>
    <t xml:space="preserve">Platform rebuild start period</t>
  </si>
  <si>
    <t xml:space="preserve">int</t>
  </si>
  <si>
    <t xml:space="preserve">period</t>
  </si>
  <si>
    <t xml:space="preserve">platform_rebuild_periods</t>
  </si>
  <si>
    <t xml:space="preserve">Platform rebuild duration</t>
  </si>
  <si>
    <t xml:space="preserve">quarters</t>
  </si>
  <si>
    <t xml:space="preserve">growth_capex</t>
  </si>
  <si>
    <t xml:space="preserve">Growth capex</t>
  </si>
  <si>
    <t xml:space="preserve">Capex</t>
  </si>
  <si>
    <t xml:space="preserve">Office fit-outs and equipment for new hires.</t>
  </si>
  <si>
    <t xml:space="preserve">maintenance_capex_pct</t>
  </si>
  <si>
    <t xml:space="preserve">Maintenance capex</t>
  </si>
  <si>
    <t xml:space="preserve">asset_life_q</t>
  </si>
  <si>
    <t xml:space="preserve">Depreciable life</t>
  </si>
  <si>
    <t xml:space="preserve">Straight line, no salvage.</t>
  </si>
  <si>
    <t xml:space="preserve">ar_days</t>
  </si>
  <si>
    <t xml:space="preserve">Receivable days</t>
  </si>
  <si>
    <t xml:space="preserve">Financing</t>
  </si>
  <si>
    <t xml:space="preserve">days</t>
  </si>
  <si>
    <t xml:space="preserve">ap_days</t>
  </si>
  <si>
    <t xml:space="preserve">Payable days</t>
  </si>
  <si>
    <t xml:space="preserve">days_per_quarter</t>
  </si>
  <si>
    <t xml:space="preserve">Days per quarter</t>
  </si>
  <si>
    <t xml:space="preserve">annual_prepay_share</t>
  </si>
  <si>
    <t xml:space="preserve">Revenue billed annually in advance</t>
  </si>
  <si>
    <t xml:space="preserve">Annual contracts billed up front create deferred revenue.</t>
  </si>
  <si>
    <t xml:space="preserve">prepaid_quarters</t>
  </si>
  <si>
    <t xml:space="preserve">Average quarters of service prepaid</t>
  </si>
  <si>
    <t xml:space="preserve">Half of a year's billing, on average, is still unearned at quarter end.</t>
  </si>
  <si>
    <t xml:space="preserve">tax_rate</t>
  </si>
  <si>
    <t xml:space="preserve">Blended income tax rate</t>
  </si>
  <si>
    <t xml:space="preserve">Losses carried forward without limit or expiry.</t>
  </si>
  <si>
    <t xml:space="preserve">opening_cash</t>
  </si>
  <si>
    <t xml:space="preserve">Opening cash, start of period 1</t>
  </si>
  <si>
    <t xml:space="preserve">equity_raises</t>
  </si>
  <si>
    <t xml:space="preserve">Equity raised</t>
  </si>
  <si>
    <t xml:space="preserve">Scheduled raises; no cash-triggered financing (that would be circular).</t>
  </si>
  <si>
    <t xml:space="preserve">min_cash_balance</t>
  </si>
  <si>
    <t xml:space="preserve">Minimum cash balance</t>
  </si>
  <si>
    <t xml:space="preserve">Used only for the cash check flag.</t>
  </si>
  <si>
    <t xml:space="preserve">discount_rate_annual</t>
  </si>
  <si>
    <t xml:space="preserve">Discount rate (annual)</t>
  </si>
  <si>
    <t xml:space="preserve">Valuation</t>
  </si>
  <si>
    <t xml:space="preserve">Growth-stage rate on unlevered FCF.</t>
  </si>
  <si>
    <t xml:space="preserve">terminal_growth_annual</t>
  </si>
  <si>
    <t xml:space="preserve">Terminal growth (annual)</t>
  </si>
  <si>
    <t xml:space="preserve">irr_guess_q</t>
  </si>
  <si>
    <t xml:space="preserve">IRR solver starting guess (quarterly)</t>
  </si>
  <si>
    <t xml:space="preserve">Only chooses between roots; does not change a unique answer.</t>
  </si>
  <si>
    <t xml:space="preserve">terminal_period</t>
  </si>
  <si>
    <t xml:space="preserve">Terminal period</t>
  </si>
  <si>
    <t xml:space="preserve">Equals the number of periods.</t>
  </si>
  <si>
    <t xml:space="preserve">scalar</t>
  </si>
  <si>
    <t xml:space="preserve">period label →</t>
  </si>
  <si>
    <t xml:space="preserve">see Drivers</t>
  </si>
  <si>
    <t xml:space="preserve">formula</t>
  </si>
  <si>
    <t xml:space="preserve">excel_ref</t>
  </si>
  <si>
    <t xml:space="preserve">new_customers_from_marketing</t>
  </si>
  <si>
    <t xml:space="preserve">New customers marketing can win</t>
  </si>
  <si>
    <t xml:space="preserve">round(marketing_spend / marketing_cost_per_customer, 0)</t>
  </si>
  <si>
    <t xml:space="preserve">Calculations!J3:AO3</t>
  </si>
  <si>
    <t xml:space="preserve">Round half away from zero (Excel convention).</t>
  </si>
  <si>
    <t xml:space="preserve">sales_capacity</t>
  </si>
  <si>
    <t xml:space="preserve">New customers the sales team can close</t>
  </si>
  <si>
    <t xml:space="preserve">series&lt;quantity&gt;</t>
  </si>
  <si>
    <t xml:space="preserve">sales_reps * deals_per_rep_q</t>
  </si>
  <si>
    <t xml:space="preserve">Calculations!J4:AO4</t>
  </si>
  <si>
    <t xml:space="preserve">new_customers</t>
  </si>
  <si>
    <t xml:space="preserve">New customers</t>
  </si>
  <si>
    <t xml:space="preserve">min(new_customers_from_marketing, sales_capacity)</t>
  </si>
  <si>
    <t xml:space="preserve">Calculations!J5:AO5</t>
  </si>
  <si>
    <t xml:space="preserve">The tighter of marketing and sales capacity.</t>
  </si>
  <si>
    <t xml:space="preserve">retention_factor</t>
  </si>
  <si>
    <t xml:space="preserve">Share of a period-1 customer still active</t>
  </si>
  <si>
    <t xml:space="preserve">series&lt;float&gt;</t>
  </si>
  <si>
    <t xml:space="preserve">growth(1 - churn_rate_q, 0 - churn_rate_q)</t>
  </si>
  <si>
    <t xml:space="preserve">Calculations!J6:AO6</t>
  </si>
  <si>
    <t xml:space="preserve">(1 - churn) to the power t.</t>
  </si>
  <si>
    <t xml:space="preserve">new_customers_scaled</t>
  </si>
  <si>
    <t xml:space="preserve">New customers scaled by retention</t>
  </si>
  <si>
    <t xml:space="preserve">new_customers / retention_factor</t>
  </si>
  <si>
    <t xml:space="preserve">Calculations!J7:AO7</t>
  </si>
  <si>
    <t xml:space="preserve">Helper for the closed-form customer count below.</t>
  </si>
  <si>
    <t xml:space="preserve">customers_end</t>
  </si>
  <si>
    <t xml:space="preserve">Customers at end of quarter</t>
  </si>
  <si>
    <t xml:space="preserve">retention_factor * cumulative(new_customers_scaled, opening_customers)</t>
  </si>
  <si>
    <t xml:space="preserve">Calculations!J8:AO8</t>
  </si>
  <si>
    <t xml:space="preserve">Solves end = start * (1 - churn) + new without a feedback loop: new customers are not churned in the quarter they join.</t>
  </si>
  <si>
    <t xml:space="preserve">customers_start</t>
  </si>
  <si>
    <t xml:space="preserve">Customers at start of quarter</t>
  </si>
  <si>
    <t xml:space="preserve">if(flag(1, 1), opening_customers, lag(customers_end, 1))</t>
  </si>
  <si>
    <t xml:space="preserve">Calculations!J9:AO9</t>
  </si>
  <si>
    <t xml:space="preserve">churned_customers</t>
  </si>
  <si>
    <t xml:space="preserve">Customers lost</t>
  </si>
  <si>
    <t xml:space="preserve">customers_start * churn_rate_q</t>
  </si>
  <si>
    <t xml:space="preserve">Calculations!J10:AO10</t>
  </si>
  <si>
    <t xml:space="preserve">net_new_customers</t>
  </si>
  <si>
    <t xml:space="preserve">Net new customers</t>
  </si>
  <si>
    <t xml:space="preserve">new_customers - churned_customers</t>
  </si>
  <si>
    <t xml:space="preserve">Calculations!J11:AO11</t>
  </si>
  <si>
    <t xml:space="preserve">average_customers</t>
  </si>
  <si>
    <t xml:space="preserve">Average customers</t>
  </si>
  <si>
    <t xml:space="preserve">(customers_start + customers_end) / 2</t>
  </si>
  <si>
    <t xml:space="preserve">Calculations!J12:AO12</t>
  </si>
  <si>
    <t xml:space="preserve">price_growth_q</t>
  </si>
  <si>
    <t xml:space="preserve">Price increase per quarter</t>
  </si>
  <si>
    <t xml:space="preserve">pow(1 + price_growth_annual, 0.25) - 1</t>
  </si>
  <si>
    <t xml:space="preserve">Calculations!I13</t>
  </si>
  <si>
    <t xml:space="preserve">price_index</t>
  </si>
  <si>
    <t xml:space="preserve">Price index</t>
  </si>
  <si>
    <t xml:space="preserve">index</t>
  </si>
  <si>
    <t xml:space="preserve">growth(1, price_growth_q)</t>
  </si>
  <si>
    <t xml:space="preserve">Calculations!J14:AO14</t>
  </si>
  <si>
    <t xml:space="preserve">1.0 in period 1.</t>
  </si>
  <si>
    <t xml:space="preserve">arpa_effective</t>
  </si>
  <si>
    <t xml:space="preserve">Average revenue per account (monthly, current price)</t>
  </si>
  <si>
    <t xml:space="preserve">arpa_monthly * price_index</t>
  </si>
  <si>
    <t xml:space="preserve">Calculations!J15:AO15</t>
  </si>
  <si>
    <t xml:space="preserve">mrr</t>
  </si>
  <si>
    <t xml:space="preserve">Monthly recurring revenue (end of quarter)</t>
  </si>
  <si>
    <t xml:space="preserve">Revenue</t>
  </si>
  <si>
    <t xml:space="preserve">customers_end * arpa_effective</t>
  </si>
  <si>
    <t xml:space="preserve">Calculations!J16:AO16</t>
  </si>
  <si>
    <t xml:space="preserve">arr</t>
  </si>
  <si>
    <t xml:space="preserve">Annual recurring revenue</t>
  </si>
  <si>
    <t xml:space="preserve">mrr * months_per_year</t>
  </si>
  <si>
    <t xml:space="preserve">Calculations!J17:AO17</t>
  </si>
  <si>
    <t xml:space="preserve">revenue</t>
  </si>
  <si>
    <t xml:space="preserve">average_customers * arpa_effective * months_per_quarter</t>
  </si>
  <si>
    <t xml:space="preserve">Calculations!J18:AO18</t>
  </si>
  <si>
    <t xml:space="preserve">Average customers over the quarter, three months each.</t>
  </si>
  <si>
    <t xml:space="preserve">cogs_hosting</t>
  </si>
  <si>
    <t xml:space="preserve">Cost of revenue: hosting</t>
  </si>
  <si>
    <t xml:space="preserve">average_customers * hosting_cost_monthly * months_per_quarter</t>
  </si>
  <si>
    <t xml:space="preserve">Calculations!J19:AO19</t>
  </si>
  <si>
    <t xml:space="preserve">cogs_support</t>
  </si>
  <si>
    <t xml:space="preserve">Cost of revenue: support</t>
  </si>
  <si>
    <t xml:space="preserve">revenue * support_cost_pct</t>
  </si>
  <si>
    <t xml:space="preserve">Calculations!J20:AO20</t>
  </si>
  <si>
    <t xml:space="preserve">cogs_payments</t>
  </si>
  <si>
    <t xml:space="preserve">Cost of revenue: payment fees</t>
  </si>
  <si>
    <t xml:space="preserve">revenue * payment_fees_pct</t>
  </si>
  <si>
    <t xml:space="preserve">Calculations!J21:AO21</t>
  </si>
  <si>
    <t xml:space="preserve">cogs_total</t>
  </si>
  <si>
    <t xml:space="preserve">sum(cogs_hosting, cogs_support, cogs_payments)</t>
  </si>
  <si>
    <t xml:space="preserve">Calculations!J22:AO22</t>
  </si>
  <si>
    <t xml:space="preserve">gross_profit</t>
  </si>
  <si>
    <t xml:space="preserve">Gross profit</t>
  </si>
  <si>
    <t xml:space="preserve">revenue - cogs_total</t>
  </si>
  <si>
    <t xml:space="preserve">Calculations!J23:AO23</t>
  </si>
  <si>
    <t xml:space="preserve">gross_margin</t>
  </si>
  <si>
    <t xml:space="preserve">Gross margin</t>
  </si>
  <si>
    <t xml:space="preserve">series&lt;percent&gt;</t>
  </si>
  <si>
    <t xml:space="preserve">gross_profit / revenue</t>
  </si>
  <si>
    <t xml:space="preserve">Calculations!J24:AO24</t>
  </si>
  <si>
    <t xml:space="preserve">Revenue is positive in every period, so no zero guard is needed.</t>
  </si>
  <si>
    <t xml:space="preserve">sales_team_cost</t>
  </si>
  <si>
    <t xml:space="preserve">Sales team cost</t>
  </si>
  <si>
    <t xml:space="preserve">sales_reps * sales_rep_cost_q</t>
  </si>
  <si>
    <t xml:space="preserve">Calculations!J25:AO25</t>
  </si>
  <si>
    <t xml:space="preserve">sales_marketing</t>
  </si>
  <si>
    <t xml:space="preserve">Sales and marketing</t>
  </si>
  <si>
    <t xml:space="preserve">marketing_spend + sales_team_cost</t>
  </si>
  <si>
    <t xml:space="preserve">Calculations!J26:AO26</t>
  </si>
  <si>
    <t xml:space="preserve">research_development</t>
  </si>
  <si>
    <t xml:space="preserve">Research and development</t>
  </si>
  <si>
    <t xml:space="preserve">engineers * engineer_cost_q</t>
  </si>
  <si>
    <t xml:space="preserve">Calculations!J27:AO27</t>
  </si>
  <si>
    <t xml:space="preserve">other_opex</t>
  </si>
  <si>
    <t xml:space="preserve">Other operating costs</t>
  </si>
  <si>
    <t xml:space="preserve">growth(other_opex_initial_q, other_opex_growth_q)</t>
  </si>
  <si>
    <t xml:space="preserve">Calculations!J28:AO28</t>
  </si>
  <si>
    <t xml:space="preserve">general_admin</t>
  </si>
  <si>
    <t xml:space="preserve">General and administrative</t>
  </si>
  <si>
    <t xml:space="preserve">ga_headcount * ga_cost_per_fte_q + other_opex</t>
  </si>
  <si>
    <t xml:space="preserve">Calculations!J29:AO29</t>
  </si>
  <si>
    <t xml:space="preserve">platform_rebuild</t>
  </si>
  <si>
    <t xml:space="preserve">Platform rebuild</t>
  </si>
  <si>
    <t xml:space="preserve">spread(platform_rebuild_cost, platform_rebuild_start, platform_rebuild_periods)</t>
  </si>
  <si>
    <t xml:space="preserve">Calculations!J30:AO30</t>
  </si>
  <si>
    <t xml:space="preserve">opex_total</t>
  </si>
  <si>
    <t xml:space="preserve">sum(sales_marketing, research_development, general_admin, platform_rebuild)</t>
  </si>
  <si>
    <t xml:space="preserve">Calculations!J31:AO31</t>
  </si>
  <si>
    <t xml:space="preserve">ebitda</t>
  </si>
  <si>
    <t xml:space="preserve">EBITDA</t>
  </si>
  <si>
    <t xml:space="preserve">gross_profit - opex_total</t>
  </si>
  <si>
    <t xml:space="preserve">Calculations!J32:AO32</t>
  </si>
  <si>
    <t xml:space="preserve">ebitda_margin</t>
  </si>
  <si>
    <t xml:space="preserve">EBITDA margin</t>
  </si>
  <si>
    <t xml:space="preserve">ebitda / revenue</t>
  </si>
  <si>
    <t xml:space="preserve">Calculations!J33:AO33</t>
  </si>
  <si>
    <t xml:space="preserve">maintenance_capex</t>
  </si>
  <si>
    <t xml:space="preserve">revenue * maintenance_capex_pct</t>
  </si>
  <si>
    <t xml:space="preserve">Calculations!J34:AO34</t>
  </si>
  <si>
    <t xml:space="preserve">capex_total</t>
  </si>
  <si>
    <t xml:space="preserve">growth_capex + maintenance_capex</t>
  </si>
  <si>
    <t xml:space="preserve">Calculations!J35:AO35</t>
  </si>
  <si>
    <t xml:space="preserve">depreciation</t>
  </si>
  <si>
    <t xml:space="preserve">Depreciation</t>
  </si>
  <si>
    <t xml:space="preserve">depreciation_sl(capex_total, asset_life_q)</t>
  </si>
  <si>
    <t xml:space="preserve">Calculations!J36:AO36</t>
  </si>
  <si>
    <t xml:space="preserve">Each period's capex depreciated straight line from the period it is spent.</t>
  </si>
  <si>
    <t xml:space="preserve">ebit</t>
  </si>
  <si>
    <t xml:space="preserve">EBIT</t>
  </si>
  <si>
    <t xml:space="preserve">ebitda - depreciation</t>
  </si>
  <si>
    <t xml:space="preserve">Calculations!J37:AO37</t>
  </si>
  <si>
    <t xml:space="preserve">No debt, so EBT equals EBIT.</t>
  </si>
  <si>
    <t xml:space="preserve">ebit_cumulative</t>
  </si>
  <si>
    <t xml:space="preserve">Cumulative EBIT</t>
  </si>
  <si>
    <t xml:space="preserve">cumulative(ebit, 0)</t>
  </si>
  <si>
    <t xml:space="preserve">Calculations!J38:AO38</t>
  </si>
  <si>
    <t xml:space="preserve">taxable_income_cumulative</t>
  </si>
  <si>
    <t xml:space="preserve">Cumulative taxable income after losses</t>
  </si>
  <si>
    <t xml:space="preserve">max(0, running_max(ebit_cumulative))</t>
  </si>
  <si>
    <t xml:space="preserve">Calculations!J39:AO39</t>
  </si>
  <si>
    <t xml:space="preserve">taxable_income</t>
  </si>
  <si>
    <t xml:space="preserve">Taxable income</t>
  </si>
  <si>
    <t xml:space="preserve">taxable_income_cumulative - lag(taxable_income_cumulative, 1)</t>
  </si>
  <si>
    <t xml:space="preserve">Calculations!J40:AO40</t>
  </si>
  <si>
    <t xml:space="preserve">tax</t>
  </si>
  <si>
    <t xml:space="preserve">Income tax</t>
  </si>
  <si>
    <t xml:space="preserve">taxable_income * tax_rate</t>
  </si>
  <si>
    <t xml:space="preserve">Calculations!J41:AO41</t>
  </si>
  <si>
    <t xml:space="preserve">Paid in the period incurred.</t>
  </si>
  <si>
    <t xml:space="preserve">net_income</t>
  </si>
  <si>
    <t xml:space="preserve">Net income</t>
  </si>
  <si>
    <t xml:space="preserve">ebit - tax</t>
  </si>
  <si>
    <t xml:space="preserve">Calculations!J42:AO42</t>
  </si>
  <si>
    <t xml:space="preserve">accounts_receivable</t>
  </si>
  <si>
    <t xml:space="preserve">Accounts receivable</t>
  </si>
  <si>
    <t xml:space="preserve">revenue * ar_days / days_per_quarter</t>
  </si>
  <si>
    <t xml:space="preserve">Calculations!J43:AO43</t>
  </si>
  <si>
    <t xml:space="preserve">End-of-period balance.</t>
  </si>
  <si>
    <t xml:space="preserve">deferred_revenue</t>
  </si>
  <si>
    <t xml:space="preserve">Deferred revenue</t>
  </si>
  <si>
    <t xml:space="preserve">revenue * annual_prepay_share * prepaid_quarters</t>
  </si>
  <si>
    <t xml:space="preserve">Calculations!J44:AO44</t>
  </si>
  <si>
    <t xml:space="preserve">Unearned annual prepayments at quarter end.</t>
  </si>
  <si>
    <t xml:space="preserve">accounts_payable</t>
  </si>
  <si>
    <t xml:space="preserve">Accounts payable</t>
  </si>
  <si>
    <t xml:space="preserve">(cogs_total + other_opex) * ap_days / days_per_quarter</t>
  </si>
  <si>
    <t xml:space="preserve">Calculations!J45:AO45</t>
  </si>
  <si>
    <t xml:space="preserve">net_working_capital</t>
  </si>
  <si>
    <t xml:space="preserve">Net working capital</t>
  </si>
  <si>
    <t xml:space="preserve">accounts_receivable - deferred_revenue - accounts_payable</t>
  </si>
  <si>
    <t xml:space="preserve">Calculations!J46:AO46</t>
  </si>
  <si>
    <t xml:space="preserve">Negative when prepayments exceed receivables.</t>
  </si>
  <si>
    <t xml:space="preserve">change_in_nwc</t>
  </si>
  <si>
    <t xml:space="preserve">Change in net working capital</t>
  </si>
  <si>
    <t xml:space="preserve">net_working_capital - lag(net_working_capital, 1)</t>
  </si>
  <si>
    <t xml:space="preserve">Calculations!J47:AO47</t>
  </si>
  <si>
    <t xml:space="preserve">Opening working capital is zero.</t>
  </si>
  <si>
    <t xml:space="preserve">free_cash_flow</t>
  </si>
  <si>
    <t xml:space="preserve">Free cash flow (unlevered)</t>
  </si>
  <si>
    <t xml:space="preserve">ebitda - tax - capex_total - change_in_nwc</t>
  </si>
  <si>
    <t xml:space="preserve">Calculations!J48:AO48</t>
  </si>
  <si>
    <t xml:space="preserve">cumulative_fcf</t>
  </si>
  <si>
    <t xml:space="preserve">Cumulative free cash flow</t>
  </si>
  <si>
    <t xml:space="preserve">cumulative(free_cash_flow, 0)</t>
  </si>
  <si>
    <t xml:space="preserve">Calculations!J49:AO49</t>
  </si>
  <si>
    <t xml:space="preserve">net_cash_flow</t>
  </si>
  <si>
    <t xml:space="preserve">Net cash flow</t>
  </si>
  <si>
    <t xml:space="preserve">free_cash_flow + equity_raises</t>
  </si>
  <si>
    <t xml:space="preserve">Calculations!J50:AO50</t>
  </si>
  <si>
    <t xml:space="preserve">No interest on cash (that would be circular).</t>
  </si>
  <si>
    <t xml:space="preserve">cash_balance</t>
  </si>
  <si>
    <t xml:space="preserve">Cash balance</t>
  </si>
  <si>
    <t xml:space="preserve">cumulative(net_cash_flow, opening_cash)</t>
  </si>
  <si>
    <t xml:space="preserve">Calculations!J51:AO51</t>
  </si>
  <si>
    <t xml:space="preserve">End of period.</t>
  </si>
  <si>
    <t xml:space="preserve">cash_above_minimum</t>
  </si>
  <si>
    <t xml:space="preserve">Cash above minimum</t>
  </si>
  <si>
    <t xml:space="preserve">series&lt;bool&gt;</t>
  </si>
  <si>
    <t xml:space="preserve">flag</t>
  </si>
  <si>
    <t xml:space="preserve">cash_balance &gt;= min_cash_balance</t>
  </si>
  <si>
    <t xml:space="preserve">Calculations!J52:AO52</t>
  </si>
  <si>
    <t xml:space="preserve">Check.</t>
  </si>
  <si>
    <t xml:space="preserve">cash_burn</t>
  </si>
  <si>
    <t xml:space="preserve">Cash burn</t>
  </si>
  <si>
    <t xml:space="preserve">max(0, 0 - free_cash_flow)</t>
  </si>
  <si>
    <t xml:space="preserve">Calculations!J53:AO53</t>
  </si>
  <si>
    <t xml:space="preserve">Zero once free cash flow is positive.</t>
  </si>
  <si>
    <t xml:space="preserve">runway_quarters</t>
  </si>
  <si>
    <t xml:space="preserve">Runway at current burn</t>
  </si>
  <si>
    <t xml:space="preserve">safe_divide(cash_balance, cash_burn, 0)</t>
  </si>
  <si>
    <t xml:space="preserve">Calculations!J54:AO54</t>
  </si>
  <si>
    <t xml:space="preserve">0 when the company isn't burning cash.</t>
  </si>
  <si>
    <t xml:space="preserve">cac_fully_loaded</t>
  </si>
  <si>
    <t xml:space="preserve">Customer acquisition cost (fully loaded)</t>
  </si>
  <si>
    <t xml:space="preserve">Unit economics</t>
  </si>
  <si>
    <t xml:space="preserve">safe_divide(sales_marketing, new_customers, 0)</t>
  </si>
  <si>
    <t xml:space="preserve">Calculations!J55:AO55</t>
  </si>
  <si>
    <t xml:space="preserve">Sales and marketing per new customer.</t>
  </si>
  <si>
    <t xml:space="preserve">gross_profit_per_customer_month</t>
  </si>
  <si>
    <t xml:space="preserve">Gross profit per customer per month</t>
  </si>
  <si>
    <t xml:space="preserve">arpa_effective * gross_margin</t>
  </si>
  <si>
    <t xml:space="preserve">Calculations!J56:AO56</t>
  </si>
  <si>
    <t xml:space="preserve">customer_lifetime_quarters</t>
  </si>
  <si>
    <t xml:space="preserve">Expected customer lifetime</t>
  </si>
  <si>
    <t xml:space="preserve">1 / churn_rate_q</t>
  </si>
  <si>
    <t xml:space="preserve">Calculations!I57</t>
  </si>
  <si>
    <t xml:space="preserve">lifetime_value</t>
  </si>
  <si>
    <t xml:space="preserve">Customer lifetime value</t>
  </si>
  <si>
    <t xml:space="preserve">gross_profit_per_customer_month * months_per_quarter * customer_lifetime_quarters</t>
  </si>
  <si>
    <t xml:space="preserve">Calculations!J58:AO58</t>
  </si>
  <si>
    <t xml:space="preserve">Gross profit over the expected lifetime.</t>
  </si>
  <si>
    <t xml:space="preserve">ltv_to_cac</t>
  </si>
  <si>
    <t xml:space="preserve">Lifetime value to CAC</t>
  </si>
  <si>
    <t xml:space="preserve">ratio</t>
  </si>
  <si>
    <t xml:space="preserve">safe_divide(lifetime_value, cac_fully_loaded, 0)</t>
  </si>
  <si>
    <t xml:space="preserve">Calculations!J59:AO59</t>
  </si>
  <si>
    <t xml:space="preserve">cac_payback_months</t>
  </si>
  <si>
    <t xml:space="preserve">CAC payback</t>
  </si>
  <si>
    <t xml:space="preserve">safe_divide(cac_fully_loaded, gross_profit_per_customer_month, 0)</t>
  </si>
  <si>
    <t xml:space="preserve">Calculations!J60:AO60</t>
  </si>
  <si>
    <t xml:space="preserve">Months of gross profit to recover acquisition cost.</t>
  </si>
  <si>
    <t xml:space="preserve">revenue_growth_yoy</t>
  </si>
  <si>
    <t xml:space="preserve">Revenue growth, year over year</t>
  </si>
  <si>
    <t xml:space="preserve">safe_divide(revenue - lag(revenue, 4), lag(revenue, 4), 0)</t>
  </si>
  <si>
    <t xml:space="preserve">Calculations!J61:AO61</t>
  </si>
  <si>
    <t xml:space="preserve">0 in the first year, which has no prior-year quarter.</t>
  </si>
  <si>
    <t xml:space="preserve">rule_of_40</t>
  </si>
  <si>
    <t xml:space="preserve">Rule of 40 score</t>
  </si>
  <si>
    <t xml:space="preserve">revenue_growth_yoy + ebitda_margin</t>
  </si>
  <si>
    <t xml:space="preserve">Calculations!J62:AO62</t>
  </si>
  <si>
    <t xml:space="preserve">Growth plus EBITDA margin; 40% or more is the usual bar.</t>
  </si>
  <si>
    <t xml:space="preserve">rule_of_40_met</t>
  </si>
  <si>
    <t xml:space="preserve">Rule of 40 met</t>
  </si>
  <si>
    <t xml:space="preserve">rule_of_40 &gt;= 0.4</t>
  </si>
  <si>
    <t xml:space="preserve">Calculations!J63:AO63</t>
  </si>
  <si>
    <t xml:space="preserve">net_new_arr</t>
  </si>
  <si>
    <t xml:space="preserve">Net new ARR</t>
  </si>
  <si>
    <t xml:space="preserve">arr - lag(arr, 1)</t>
  </si>
  <si>
    <t xml:space="preserve">Calculations!J64:AO64</t>
  </si>
  <si>
    <t xml:space="preserve">Period 1 counts all opening ARR.</t>
  </si>
  <si>
    <t xml:space="preserve">burn_multiple</t>
  </si>
  <si>
    <t xml:space="preserve">Burn multiple</t>
  </si>
  <si>
    <t xml:space="preserve">safe_divide(cash_burn, net_new_arr, 0)</t>
  </si>
  <si>
    <t xml:space="preserve">Calculations!J65:AO65</t>
  </si>
  <si>
    <t xml:space="preserve">Cash burned per dollar of net new ARR; 0 once burn stops.</t>
  </si>
  <si>
    <t xml:space="preserve">headcount</t>
  </si>
  <si>
    <t xml:space="preserve">Headcount</t>
  </si>
  <si>
    <t xml:space="preserve">sum(sales_reps, engineers, ga_headcount)</t>
  </si>
  <si>
    <t xml:space="preserve">Calculations!J66:AO66</t>
  </si>
  <si>
    <t xml:space="preserve">revenue_per_employee</t>
  </si>
  <si>
    <t xml:space="preserve">Annualized revenue per employee</t>
  </si>
  <si>
    <t xml:space="preserve">revenue * 4 / headcount</t>
  </si>
  <si>
    <t xml:space="preserve">Calculations!J67:AO67</t>
  </si>
  <si>
    <t xml:space="preserve">customers_won_total</t>
  </si>
  <si>
    <t xml:space="preserve">Customers won, total</t>
  </si>
  <si>
    <t xml:space="preserve">total(new_customers)</t>
  </si>
  <si>
    <t xml:space="preserve">Calculations!I68</t>
  </si>
  <si>
    <t xml:space="preserve">discount_rate_q</t>
  </si>
  <si>
    <t xml:space="preserve">Discount rate (quarterly)</t>
  </si>
  <si>
    <t xml:space="preserve">pow(1 + discount_rate_annual, 0.25) - 1</t>
  </si>
  <si>
    <t xml:space="preserve">Calculations!I69</t>
  </si>
  <si>
    <t xml:space="preserve">terminal_growth_q</t>
  </si>
  <si>
    <t xml:space="preserve">Terminal growth (quarterly)</t>
  </si>
  <si>
    <t xml:space="preserve">pow(1 + terminal_growth_annual, 0.25) - 1</t>
  </si>
  <si>
    <t xml:space="preserve">Calculations!I70</t>
  </si>
  <si>
    <t xml:space="preserve">terminal_flag</t>
  </si>
  <si>
    <t xml:space="preserve">Terminal period flag</t>
  </si>
  <si>
    <t xml:space="preserve">flag(terminal_period, terminal_period)</t>
  </si>
  <si>
    <t xml:space="preserve">Calculations!J71:AO71</t>
  </si>
  <si>
    <t xml:space="preserve">terminal_fcf_series</t>
  </si>
  <si>
    <t xml:space="preserve">FCF in terminal period</t>
  </si>
  <si>
    <t xml:space="preserve">if(terminal_flag, free_cash_flow, 0)</t>
  </si>
  <si>
    <t xml:space="preserve">Calculations!J72:AO72</t>
  </si>
  <si>
    <t xml:space="preserve">terminal_fcf</t>
  </si>
  <si>
    <t xml:space="preserve">Terminal-period FCF</t>
  </si>
  <si>
    <t xml:space="preserve">total(terminal_fcf_series)</t>
  </si>
  <si>
    <t xml:space="preserve">Calculations!I73</t>
  </si>
  <si>
    <t xml:space="preserve">terminal_value</t>
  </si>
  <si>
    <t xml:space="preserve">Terminal value (Gordon growth)</t>
  </si>
  <si>
    <t xml:space="preserve">terminal_fcf * (1 + terminal_growth_q) / (discount_rate_q - terminal_growth_q)</t>
  </si>
  <si>
    <t xml:space="preserve">Calculations!I74</t>
  </si>
  <si>
    <t xml:space="preserve">Value at end of terminal period.</t>
  </si>
  <si>
    <t xml:space="preserve">terminal_value_flow</t>
  </si>
  <si>
    <t xml:space="preserve">Terminal value in cash flow</t>
  </si>
  <si>
    <t xml:space="preserve">if(terminal_flag, terminal_value, 0)</t>
  </si>
  <si>
    <t xml:space="preserve">Calculations!J75:AO75</t>
  </si>
  <si>
    <t xml:space="preserve">valuation_cash_flow</t>
  </si>
  <si>
    <t xml:space="preserve">Valuation cash flow (FCF plus TV)</t>
  </si>
  <si>
    <t xml:space="preserve">free_cash_flow + terminal_value_flow</t>
  </si>
  <si>
    <t xml:space="preserve">Calculations!J76:AO76</t>
  </si>
  <si>
    <t xml:space="preserve">npv_value</t>
  </si>
  <si>
    <t xml:space="preserve">NPV</t>
  </si>
  <si>
    <t xml:space="preserve">npv(discount_rate_q, valuation_cash_flow)</t>
  </si>
  <si>
    <t xml:space="preserve">Calculations!I77</t>
  </si>
  <si>
    <t xml:space="preserve">Convention: period t discounted by (1 + r)^t, t from 1 (Excel NPV). Valued at start of period 1.</t>
  </si>
  <si>
    <t xml:space="preserve">discount_factor_q</t>
  </si>
  <si>
    <t xml:space="preserve">Discount factor</t>
  </si>
  <si>
    <t xml:space="preserve">factor</t>
  </si>
  <si>
    <t xml:space="preserve">discount_factor(discount_rate_q)</t>
  </si>
  <si>
    <t xml:space="preserve">Calculations!J78:AO78</t>
  </si>
  <si>
    <t xml:space="preserve">1 / (1 + r)^t.</t>
  </si>
  <si>
    <t xml:space="preserve">pv_valuation_cash_flow</t>
  </si>
  <si>
    <t xml:space="preserve">PV of valuation cash flow</t>
  </si>
  <si>
    <t xml:space="preserve">valuation_cash_flow * discount_factor_q</t>
  </si>
  <si>
    <t xml:space="preserve">Calculations!J79:AO79</t>
  </si>
  <si>
    <t xml:space="preserve">npv_check</t>
  </si>
  <si>
    <t xml:space="preserve">NPV via discount factors</t>
  </si>
  <si>
    <t xml:space="preserve">total(pv_valuation_cash_flow)</t>
  </si>
  <si>
    <t xml:space="preserve">Calculations!I80</t>
  </si>
  <si>
    <t xml:space="preserve">Must equal npv_value; pins the NPV timing convention.</t>
  </si>
  <si>
    <t xml:space="preserve">irr_quarterly</t>
  </si>
  <si>
    <t xml:space="preserve">IRR (quarterly)</t>
  </si>
  <si>
    <t xml:space="preserve">irr(valuation_cash_flow, irr_guess_q)</t>
  </si>
  <si>
    <t xml:space="preserve">Calculations!I81</t>
  </si>
  <si>
    <t xml:space="preserve">irr_annual</t>
  </si>
  <si>
    <t xml:space="preserve">IRR (annualized)</t>
  </si>
  <si>
    <t xml:space="preserve">pow(1 + irr_quarterly, 4) - 1</t>
  </si>
  <si>
    <t xml:space="preserve">Calculations!I82</t>
  </si>
  <si>
    <t xml:space="preserve">fiscal year in row 1 →</t>
  </si>
  <si>
    <t xml:space="preserve">revenue_annual</t>
  </si>
  <si>
    <t xml:space="preserve">annual&lt;currency&gt;</t>
  </si>
  <si>
    <t xml:space="preserve">annual(revenue)</t>
  </si>
  <si>
    <t xml:space="preserve">Annual!I3:P3</t>
  </si>
  <si>
    <t xml:space="preserve">Sum of the fiscal year's periods; output is on a yearly timeline.</t>
  </si>
  <si>
    <t xml:space="preserve">ebitda_annual</t>
  </si>
  <si>
    <t xml:space="preserve">annual(ebitda)</t>
  </si>
  <si>
    <t xml:space="preserve">Annual!I4:P4</t>
  </si>
  <si>
    <t xml:space="preserve">free_cash_flow_annual</t>
  </si>
  <si>
    <t xml:space="preserve">Free cash flow</t>
  </si>
  <si>
    <t xml:space="preserve">annual(free_cash_flow)</t>
  </si>
  <si>
    <t xml:space="preserve">Annual!I5:P5</t>
  </si>
  <si>
    <t xml:space="preserve">new_customers_annual</t>
  </si>
  <si>
    <t xml:space="preserve">annual&lt;quantity&gt;</t>
  </si>
  <si>
    <t xml:space="preserve">annual(new_customers)</t>
  </si>
  <si>
    <t xml:space="preserve">Annual!I6:P6</t>
  </si>
  <si>
    <t xml:space="preserve">tolerance</t>
  </si>
  <si>
    <t xml:space="preserve">role</t>
  </si>
  <si>
    <t xml:space="preserve">rel 1e-6</t>
  </si>
  <si>
    <t xml:space="preserve">required</t>
  </si>
  <si>
    <t xml:space="preserve">checkpoint</t>
  </si>
  <si>
    <t xml:space="preserve">exact</t>
  </si>
  <si>
    <t xml:space="preserve">order</t>
  </si>
  <si>
    <t xml:space="preserve">format</t>
  </si>
  <si>
    <t xml:space="preserve">#,##0</t>
  </si>
  <si>
    <t xml:space="preserve">$#,##0</t>
  </si>
  <si>
    <t xml:space="preserve">0.0%</t>
  </si>
  <si>
    <t xml:space="preserve">Driver_Series!J8:AO8</t>
  </si>
  <si>
    <t xml:space="preserve">#,##0.0</t>
  </si>
  <si>
    <t xml:space="preserve">0.0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</si>
</sst>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#,##0;\(#,##0\);\-"/>
    <numFmt numFmtId="167" formatCode="0"/>
    <numFmt numFmtId="168" formatCode="#,##0.0;\(#,##0.0\);\-"/>
    <numFmt numFmtId="169" formatCode="\$#,##0;&quot;($&quot;#,##0\);\-"/>
    <numFmt numFmtId="170" formatCode="#,##0.0000;\(#,##0.0000\);\-"/>
    <numFmt numFmtId="171" formatCode="0.0%;\(0.0%\);\-"/>
    <numFmt numFmtId="172" formatCode="#,##0.00"/>
    <numFmt numFmtId="173" formatCode="General"/>
    <numFmt numFmtId="174" formatCode="#,##0"/>
    <numFmt numFmtId="175" formatCode="0.0%"/>
    <numFmt numFmtId="176" formatCode="#,##0.0"/>
    <numFmt numFmtId="17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name val="Consolas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1" min="10" style="0" width="12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</row>
    <row r="2" customFormat="false" ht="15" hidden="false" customHeight="false" outlineLevel="0" collapsed="false">
      <c r="A2" s="2" t="s">
        <v>22</v>
      </c>
      <c r="B2" s="4" t="n">
        <v>46388</v>
      </c>
      <c r="C2" s="2" t="s">
        <v>23</v>
      </c>
    </row>
    <row r="3" customFormat="false" ht="15" hidden="false" customHeight="false" outlineLevel="0" collapsed="false">
      <c r="A3" s="2" t="s">
        <v>24</v>
      </c>
      <c r="B3" s="5" t="s">
        <v>25</v>
      </c>
      <c r="C3" s="2" t="s">
        <v>26</v>
      </c>
    </row>
    <row r="4" customFormat="false" ht="15" hidden="false" customHeight="false" outlineLevel="0" collapsed="false">
      <c r="A4" s="2" t="s">
        <v>27</v>
      </c>
      <c r="B4" s="6" t="n">
        <v>32</v>
      </c>
      <c r="C4" s="2" t="s">
        <v>28</v>
      </c>
    </row>
    <row r="5" customFormat="false" ht="15" hidden="false" customHeight="false" outlineLevel="0" collapsed="false">
      <c r="A5" s="2" t="s">
        <v>29</v>
      </c>
      <c r="B5" s="6" t="n">
        <v>3</v>
      </c>
      <c r="C5" s="2" t="s">
        <v>30</v>
      </c>
    </row>
    <row r="6" customFormat="false" ht="15" hidden="false" customHeight="false" outlineLevel="0" collapsed="false">
      <c r="A6" s="2" t="s">
        <v>31</v>
      </c>
      <c r="B6" s="5" t="s">
        <v>32</v>
      </c>
      <c r="C6" s="2" t="s">
        <v>33</v>
      </c>
    </row>
    <row r="8" customFormat="false" ht="15" hidden="false" customHeight="false" outlineLevel="0" collapsed="false">
      <c r="A8" s="1" t="s">
        <v>34</v>
      </c>
    </row>
    <row r="9" customFormat="false" ht="15" hidden="false" customHeight="false" outlineLevel="0" collapsed="false">
      <c r="A9" s="2" t="s">
        <v>35</v>
      </c>
      <c r="J9" s="5" t="n">
        <v>1</v>
      </c>
      <c r="K9" s="2" t="n">
        <f aca="false">J9+1</f>
        <v>2</v>
      </c>
      <c r="L9" s="2" t="n">
        <f aca="false">K9+1</f>
        <v>3</v>
      </c>
      <c r="M9" s="2" t="n">
        <f aca="false">L9+1</f>
        <v>4</v>
      </c>
      <c r="N9" s="2" t="n">
        <f aca="false">M9+1</f>
        <v>5</v>
      </c>
      <c r="O9" s="2" t="n">
        <f aca="false">N9+1</f>
        <v>6</v>
      </c>
      <c r="P9" s="2" t="n">
        <f aca="false">O9+1</f>
        <v>7</v>
      </c>
      <c r="Q9" s="2" t="n">
        <f aca="false">P9+1</f>
        <v>8</v>
      </c>
      <c r="R9" s="2" t="n">
        <f aca="false">Q9+1</f>
        <v>9</v>
      </c>
      <c r="S9" s="2" t="n">
        <f aca="false">R9+1</f>
        <v>10</v>
      </c>
      <c r="T9" s="2" t="n">
        <f aca="false">S9+1</f>
        <v>11</v>
      </c>
      <c r="U9" s="2" t="n">
        <f aca="false">T9+1</f>
        <v>12</v>
      </c>
      <c r="V9" s="2" t="n">
        <f aca="false">U9+1</f>
        <v>13</v>
      </c>
      <c r="W9" s="2" t="n">
        <f aca="false">V9+1</f>
        <v>14</v>
      </c>
      <c r="X9" s="2" t="n">
        <f aca="false">W9+1</f>
        <v>15</v>
      </c>
      <c r="Y9" s="2" t="n">
        <f aca="false">X9+1</f>
        <v>16</v>
      </c>
      <c r="Z9" s="2" t="n">
        <f aca="false">Y9+1</f>
        <v>17</v>
      </c>
      <c r="AA9" s="2" t="n">
        <f aca="false">Z9+1</f>
        <v>18</v>
      </c>
      <c r="AB9" s="2" t="n">
        <f aca="false">AA9+1</f>
        <v>19</v>
      </c>
      <c r="AC9" s="2" t="n">
        <f aca="false">AB9+1</f>
        <v>20</v>
      </c>
      <c r="AD9" s="2" t="n">
        <f aca="false">AC9+1</f>
        <v>21</v>
      </c>
      <c r="AE9" s="2" t="n">
        <f aca="false">AD9+1</f>
        <v>22</v>
      </c>
      <c r="AF9" s="2" t="n">
        <f aca="false">AE9+1</f>
        <v>23</v>
      </c>
      <c r="AG9" s="2" t="n">
        <f aca="false">AF9+1</f>
        <v>24</v>
      </c>
      <c r="AH9" s="2" t="n">
        <f aca="false">AG9+1</f>
        <v>25</v>
      </c>
      <c r="AI9" s="2" t="n">
        <f aca="false">AH9+1</f>
        <v>26</v>
      </c>
      <c r="AJ9" s="2" t="n">
        <f aca="false">AI9+1</f>
        <v>27</v>
      </c>
      <c r="AK9" s="2" t="n">
        <f aca="false">AJ9+1</f>
        <v>28</v>
      </c>
      <c r="AL9" s="2" t="n">
        <f aca="false">AK9+1</f>
        <v>29</v>
      </c>
      <c r="AM9" s="2" t="n">
        <f aca="false">AL9+1</f>
        <v>30</v>
      </c>
      <c r="AN9" s="2" t="n">
        <f aca="false">AM9+1</f>
        <v>31</v>
      </c>
      <c r="AO9" s="2" t="n">
        <f aca="false">AN9+1</f>
        <v>32</v>
      </c>
    </row>
    <row r="10" customFormat="false" ht="15" hidden="false" customHeight="false" outlineLevel="0" collapsed="false">
      <c r="A10" s="2" t="s">
        <v>36</v>
      </c>
      <c r="J10" s="7" t="n">
        <f aca="false">start_date</f>
        <v>46388</v>
      </c>
      <c r="K10" s="7" t="n">
        <f aca="false">EDATE(J10,months_per_period)</f>
        <v>46478</v>
      </c>
      <c r="L10" s="7" t="n">
        <f aca="false">EDATE(K10,months_per_period)</f>
        <v>46569</v>
      </c>
      <c r="M10" s="7" t="n">
        <f aca="false">EDATE(L10,months_per_period)</f>
        <v>46661</v>
      </c>
      <c r="N10" s="7" t="n">
        <f aca="false">EDATE(M10,months_per_period)</f>
        <v>46753</v>
      </c>
      <c r="O10" s="7" t="n">
        <f aca="false">EDATE(N10,months_per_period)</f>
        <v>46844</v>
      </c>
      <c r="P10" s="7" t="n">
        <f aca="false">EDATE(O10,months_per_period)</f>
        <v>46935</v>
      </c>
      <c r="Q10" s="7" t="n">
        <f aca="false">EDATE(P10,months_per_period)</f>
        <v>47027</v>
      </c>
      <c r="R10" s="7" t="n">
        <f aca="false">EDATE(Q10,months_per_period)</f>
        <v>47119</v>
      </c>
      <c r="S10" s="7" t="n">
        <f aca="false">EDATE(R10,months_per_period)</f>
        <v>47209</v>
      </c>
      <c r="T10" s="7" t="n">
        <f aca="false">EDATE(S10,months_per_period)</f>
        <v>47300</v>
      </c>
      <c r="U10" s="7" t="n">
        <f aca="false">EDATE(T10,months_per_period)</f>
        <v>47392</v>
      </c>
      <c r="V10" s="7" t="n">
        <f aca="false">EDATE(U10,months_per_period)</f>
        <v>47484</v>
      </c>
      <c r="W10" s="7" t="n">
        <f aca="false">EDATE(V10,months_per_period)</f>
        <v>47574</v>
      </c>
      <c r="X10" s="7" t="n">
        <f aca="false">EDATE(W10,months_per_period)</f>
        <v>47665</v>
      </c>
      <c r="Y10" s="7" t="n">
        <f aca="false">EDATE(X10,months_per_period)</f>
        <v>47757</v>
      </c>
      <c r="Z10" s="7" t="n">
        <f aca="false">EDATE(Y10,months_per_period)</f>
        <v>47849</v>
      </c>
      <c r="AA10" s="7" t="n">
        <f aca="false">EDATE(Z10,months_per_period)</f>
        <v>47939</v>
      </c>
      <c r="AB10" s="7" t="n">
        <f aca="false">EDATE(AA10,months_per_period)</f>
        <v>48030</v>
      </c>
      <c r="AC10" s="7" t="n">
        <f aca="false">EDATE(AB10,months_per_period)</f>
        <v>48122</v>
      </c>
      <c r="AD10" s="7" t="n">
        <f aca="false">EDATE(AC10,months_per_period)</f>
        <v>48214</v>
      </c>
      <c r="AE10" s="7" t="n">
        <f aca="false">EDATE(AD10,months_per_period)</f>
        <v>48305</v>
      </c>
      <c r="AF10" s="7" t="n">
        <f aca="false">EDATE(AE10,months_per_period)</f>
        <v>48396</v>
      </c>
      <c r="AG10" s="7" t="n">
        <f aca="false">EDATE(AF10,months_per_period)</f>
        <v>48488</v>
      </c>
      <c r="AH10" s="7" t="n">
        <f aca="false">EDATE(AG10,months_per_period)</f>
        <v>48580</v>
      </c>
      <c r="AI10" s="7" t="n">
        <f aca="false">EDATE(AH10,months_per_period)</f>
        <v>48670</v>
      </c>
      <c r="AJ10" s="7" t="n">
        <f aca="false">EDATE(AI10,months_per_period)</f>
        <v>48761</v>
      </c>
      <c r="AK10" s="7" t="n">
        <f aca="false">EDATE(AJ10,months_per_period)</f>
        <v>48853</v>
      </c>
      <c r="AL10" s="7" t="n">
        <f aca="false">EDATE(AK10,months_per_period)</f>
        <v>48945</v>
      </c>
      <c r="AM10" s="7" t="n">
        <f aca="false">EDATE(AL10,months_per_period)</f>
        <v>49035</v>
      </c>
      <c r="AN10" s="7" t="n">
        <f aca="false">EDATE(AM10,months_per_period)</f>
        <v>49126</v>
      </c>
      <c r="AO10" s="7" t="n">
        <f aca="false">EDATE(AN10,months_per_period)</f>
        <v>49218</v>
      </c>
    </row>
    <row r="11" customFormat="false" ht="15" hidden="false" customHeight="false" outlineLevel="0" collapsed="false">
      <c r="A11" s="2" t="s">
        <v>37</v>
      </c>
      <c r="J11" s="7" t="n">
        <f aca="false">EDATE(J10,months_per_period)-1</f>
        <v>46477</v>
      </c>
      <c r="K11" s="7" t="n">
        <f aca="false">EDATE(K10,months_per_period)-1</f>
        <v>46568</v>
      </c>
      <c r="L11" s="7" t="n">
        <f aca="false">EDATE(L10,months_per_period)-1</f>
        <v>46660</v>
      </c>
      <c r="M11" s="7" t="n">
        <f aca="false">EDATE(M10,months_per_period)-1</f>
        <v>46752</v>
      </c>
      <c r="N11" s="7" t="n">
        <f aca="false">EDATE(N10,months_per_period)-1</f>
        <v>46843</v>
      </c>
      <c r="O11" s="7" t="n">
        <f aca="false">EDATE(O10,months_per_period)-1</f>
        <v>46934</v>
      </c>
      <c r="P11" s="7" t="n">
        <f aca="false">EDATE(P10,months_per_period)-1</f>
        <v>47026</v>
      </c>
      <c r="Q11" s="7" t="n">
        <f aca="false">EDATE(Q10,months_per_period)-1</f>
        <v>47118</v>
      </c>
      <c r="R11" s="7" t="n">
        <f aca="false">EDATE(R10,months_per_period)-1</f>
        <v>47208</v>
      </c>
      <c r="S11" s="7" t="n">
        <f aca="false">EDATE(S10,months_per_period)-1</f>
        <v>47299</v>
      </c>
      <c r="T11" s="7" t="n">
        <f aca="false">EDATE(T10,months_per_period)-1</f>
        <v>47391</v>
      </c>
      <c r="U11" s="7" t="n">
        <f aca="false">EDATE(U10,months_per_period)-1</f>
        <v>47483</v>
      </c>
      <c r="V11" s="7" t="n">
        <f aca="false">EDATE(V10,months_per_period)-1</f>
        <v>47573</v>
      </c>
      <c r="W11" s="7" t="n">
        <f aca="false">EDATE(W10,months_per_period)-1</f>
        <v>47664</v>
      </c>
      <c r="X11" s="7" t="n">
        <f aca="false">EDATE(X10,months_per_period)-1</f>
        <v>47756</v>
      </c>
      <c r="Y11" s="7" t="n">
        <f aca="false">EDATE(Y10,months_per_period)-1</f>
        <v>47848</v>
      </c>
      <c r="Z11" s="7" t="n">
        <f aca="false">EDATE(Z10,months_per_period)-1</f>
        <v>47938</v>
      </c>
      <c r="AA11" s="7" t="n">
        <f aca="false">EDATE(AA10,months_per_period)-1</f>
        <v>48029</v>
      </c>
      <c r="AB11" s="7" t="n">
        <f aca="false">EDATE(AB10,months_per_period)-1</f>
        <v>48121</v>
      </c>
      <c r="AC11" s="7" t="n">
        <f aca="false">EDATE(AC10,months_per_period)-1</f>
        <v>48213</v>
      </c>
      <c r="AD11" s="7" t="n">
        <f aca="false">EDATE(AD10,months_per_period)-1</f>
        <v>48304</v>
      </c>
      <c r="AE11" s="7" t="n">
        <f aca="false">EDATE(AE10,months_per_period)-1</f>
        <v>48395</v>
      </c>
      <c r="AF11" s="7" t="n">
        <f aca="false">EDATE(AF10,months_per_period)-1</f>
        <v>48487</v>
      </c>
      <c r="AG11" s="7" t="n">
        <f aca="false">EDATE(AG10,months_per_period)-1</f>
        <v>48579</v>
      </c>
      <c r="AH11" s="7" t="n">
        <f aca="false">EDATE(AH10,months_per_period)-1</f>
        <v>48669</v>
      </c>
      <c r="AI11" s="7" t="n">
        <f aca="false">EDATE(AI10,months_per_period)-1</f>
        <v>48760</v>
      </c>
      <c r="AJ11" s="7" t="n">
        <f aca="false">EDATE(AJ10,months_per_period)-1</f>
        <v>48852</v>
      </c>
      <c r="AK11" s="7" t="n">
        <f aca="false">EDATE(AK10,months_per_period)-1</f>
        <v>48944</v>
      </c>
      <c r="AL11" s="7" t="n">
        <f aca="false">EDATE(AL10,months_per_period)-1</f>
        <v>49034</v>
      </c>
      <c r="AM11" s="7" t="n">
        <f aca="false">EDATE(AM10,months_per_period)-1</f>
        <v>49125</v>
      </c>
      <c r="AN11" s="7" t="n">
        <f aca="false">EDATE(AN10,months_per_period)-1</f>
        <v>49217</v>
      </c>
      <c r="AO11" s="7" t="n">
        <f aca="false">EDATE(AO10,months_per_period)-1</f>
        <v>49309</v>
      </c>
    </row>
    <row r="12" customFormat="false" ht="15" hidden="false" customHeight="false" outlineLevel="0" collapsed="false">
      <c r="A12" s="2" t="s">
        <v>38</v>
      </c>
      <c r="J12" s="8" t="n">
        <f aca="false">YEAR(J11)</f>
        <v>2027</v>
      </c>
      <c r="K12" s="8" t="n">
        <f aca="false">YEAR(K11)</f>
        <v>2027</v>
      </c>
      <c r="L12" s="8" t="n">
        <f aca="false">YEAR(L11)</f>
        <v>2027</v>
      </c>
      <c r="M12" s="8" t="n">
        <f aca="false">YEAR(M11)</f>
        <v>2027</v>
      </c>
      <c r="N12" s="8" t="n">
        <f aca="false">YEAR(N11)</f>
        <v>2028</v>
      </c>
      <c r="O12" s="8" t="n">
        <f aca="false">YEAR(O11)</f>
        <v>2028</v>
      </c>
      <c r="P12" s="8" t="n">
        <f aca="false">YEAR(P11)</f>
        <v>2028</v>
      </c>
      <c r="Q12" s="8" t="n">
        <f aca="false">YEAR(Q11)</f>
        <v>2028</v>
      </c>
      <c r="R12" s="8" t="n">
        <f aca="false">YEAR(R11)</f>
        <v>2029</v>
      </c>
      <c r="S12" s="8" t="n">
        <f aca="false">YEAR(S11)</f>
        <v>2029</v>
      </c>
      <c r="T12" s="8" t="n">
        <f aca="false">YEAR(T11)</f>
        <v>2029</v>
      </c>
      <c r="U12" s="8" t="n">
        <f aca="false">YEAR(U11)</f>
        <v>2029</v>
      </c>
      <c r="V12" s="8" t="n">
        <f aca="false">YEAR(V11)</f>
        <v>2030</v>
      </c>
      <c r="W12" s="8" t="n">
        <f aca="false">YEAR(W11)</f>
        <v>2030</v>
      </c>
      <c r="X12" s="8" t="n">
        <f aca="false">YEAR(X11)</f>
        <v>2030</v>
      </c>
      <c r="Y12" s="8" t="n">
        <f aca="false">YEAR(Y11)</f>
        <v>2030</v>
      </c>
      <c r="Z12" s="8" t="n">
        <f aca="false">YEAR(Z11)</f>
        <v>2031</v>
      </c>
      <c r="AA12" s="8" t="n">
        <f aca="false">YEAR(AA11)</f>
        <v>2031</v>
      </c>
      <c r="AB12" s="8" t="n">
        <f aca="false">YEAR(AB11)</f>
        <v>2031</v>
      </c>
      <c r="AC12" s="8" t="n">
        <f aca="false">YEAR(AC11)</f>
        <v>2031</v>
      </c>
      <c r="AD12" s="8" t="n">
        <f aca="false">YEAR(AD11)</f>
        <v>2032</v>
      </c>
      <c r="AE12" s="8" t="n">
        <f aca="false">YEAR(AE11)</f>
        <v>2032</v>
      </c>
      <c r="AF12" s="8" t="n">
        <f aca="false">YEAR(AF11)</f>
        <v>2032</v>
      </c>
      <c r="AG12" s="8" t="n">
        <f aca="false">YEAR(AG11)</f>
        <v>2032</v>
      </c>
      <c r="AH12" s="8" t="n">
        <f aca="false">YEAR(AH11)</f>
        <v>2033</v>
      </c>
      <c r="AI12" s="8" t="n">
        <f aca="false">YEAR(AI11)</f>
        <v>2033</v>
      </c>
      <c r="AJ12" s="8" t="n">
        <f aca="false">YEAR(AJ11)</f>
        <v>2033</v>
      </c>
      <c r="AK12" s="8" t="n">
        <f aca="false">YEAR(AK11)</f>
        <v>2033</v>
      </c>
      <c r="AL12" s="8" t="n">
        <f aca="false">YEAR(AL11)</f>
        <v>2034</v>
      </c>
      <c r="AM12" s="8" t="n">
        <f aca="false">YEAR(AM11)</f>
        <v>2034</v>
      </c>
      <c r="AN12" s="8" t="n">
        <f aca="false">YEAR(AN11)</f>
        <v>2034</v>
      </c>
      <c r="AO12" s="8" t="n">
        <f aca="false">YEAR(AO11)</f>
        <v>2034</v>
      </c>
    </row>
    <row r="13" customFormat="false" ht="15" hidden="false" customHeight="false" outlineLevel="0" collapsed="false">
      <c r="A13" s="2" t="s">
        <v>39</v>
      </c>
      <c r="J13" s="2" t="str">
        <f aca="false">YEAR(J10)&amp;"Q"&amp;ROUNDUP(MONTH(J10)/3,0)</f>
        <v>2027Q1</v>
      </c>
      <c r="K13" s="2" t="str">
        <f aca="false">YEAR(K10)&amp;"Q"&amp;ROUNDUP(MONTH(K10)/3,0)</f>
        <v>2027Q2</v>
      </c>
      <c r="L13" s="2" t="str">
        <f aca="false">YEAR(L10)&amp;"Q"&amp;ROUNDUP(MONTH(L10)/3,0)</f>
        <v>2027Q3</v>
      </c>
      <c r="M13" s="2" t="str">
        <f aca="false">YEAR(M10)&amp;"Q"&amp;ROUNDUP(MONTH(M10)/3,0)</f>
        <v>2027Q4</v>
      </c>
      <c r="N13" s="2" t="str">
        <f aca="false">YEAR(N10)&amp;"Q"&amp;ROUNDUP(MONTH(N10)/3,0)</f>
        <v>2028Q1</v>
      </c>
      <c r="O13" s="2" t="str">
        <f aca="false">YEAR(O10)&amp;"Q"&amp;ROUNDUP(MONTH(O10)/3,0)</f>
        <v>2028Q2</v>
      </c>
      <c r="P13" s="2" t="str">
        <f aca="false">YEAR(P10)&amp;"Q"&amp;ROUNDUP(MONTH(P10)/3,0)</f>
        <v>2028Q3</v>
      </c>
      <c r="Q13" s="2" t="str">
        <f aca="false">YEAR(Q10)&amp;"Q"&amp;ROUNDUP(MONTH(Q10)/3,0)</f>
        <v>2028Q4</v>
      </c>
      <c r="R13" s="2" t="str">
        <f aca="false">YEAR(R10)&amp;"Q"&amp;ROUNDUP(MONTH(R10)/3,0)</f>
        <v>2029Q1</v>
      </c>
      <c r="S13" s="2" t="str">
        <f aca="false">YEAR(S10)&amp;"Q"&amp;ROUNDUP(MONTH(S10)/3,0)</f>
        <v>2029Q2</v>
      </c>
      <c r="T13" s="2" t="str">
        <f aca="false">YEAR(T10)&amp;"Q"&amp;ROUNDUP(MONTH(T10)/3,0)</f>
        <v>2029Q3</v>
      </c>
      <c r="U13" s="2" t="str">
        <f aca="false">YEAR(U10)&amp;"Q"&amp;ROUNDUP(MONTH(U10)/3,0)</f>
        <v>2029Q4</v>
      </c>
      <c r="V13" s="2" t="str">
        <f aca="false">YEAR(V10)&amp;"Q"&amp;ROUNDUP(MONTH(V10)/3,0)</f>
        <v>2030Q1</v>
      </c>
      <c r="W13" s="2" t="str">
        <f aca="false">YEAR(W10)&amp;"Q"&amp;ROUNDUP(MONTH(W10)/3,0)</f>
        <v>2030Q2</v>
      </c>
      <c r="X13" s="2" t="str">
        <f aca="false">YEAR(X10)&amp;"Q"&amp;ROUNDUP(MONTH(X10)/3,0)</f>
        <v>2030Q3</v>
      </c>
      <c r="Y13" s="2" t="str">
        <f aca="false">YEAR(Y10)&amp;"Q"&amp;ROUNDUP(MONTH(Y10)/3,0)</f>
        <v>2030Q4</v>
      </c>
      <c r="Z13" s="2" t="str">
        <f aca="false">YEAR(Z10)&amp;"Q"&amp;ROUNDUP(MONTH(Z10)/3,0)</f>
        <v>2031Q1</v>
      </c>
      <c r="AA13" s="2" t="str">
        <f aca="false">YEAR(AA10)&amp;"Q"&amp;ROUNDUP(MONTH(AA10)/3,0)</f>
        <v>2031Q2</v>
      </c>
      <c r="AB13" s="2" t="str">
        <f aca="false">YEAR(AB10)&amp;"Q"&amp;ROUNDUP(MONTH(AB10)/3,0)</f>
        <v>2031Q3</v>
      </c>
      <c r="AC13" s="2" t="str">
        <f aca="false">YEAR(AC10)&amp;"Q"&amp;ROUNDUP(MONTH(AC10)/3,0)</f>
        <v>2031Q4</v>
      </c>
      <c r="AD13" s="2" t="str">
        <f aca="false">YEAR(AD10)&amp;"Q"&amp;ROUNDUP(MONTH(AD10)/3,0)</f>
        <v>2032Q1</v>
      </c>
      <c r="AE13" s="2" t="str">
        <f aca="false">YEAR(AE10)&amp;"Q"&amp;ROUNDUP(MONTH(AE10)/3,0)</f>
        <v>2032Q2</v>
      </c>
      <c r="AF13" s="2" t="str">
        <f aca="false">YEAR(AF10)&amp;"Q"&amp;ROUNDUP(MONTH(AF10)/3,0)</f>
        <v>2032Q3</v>
      </c>
      <c r="AG13" s="2" t="str">
        <f aca="false">YEAR(AG10)&amp;"Q"&amp;ROUNDUP(MONTH(AG10)/3,0)</f>
        <v>2032Q4</v>
      </c>
      <c r="AH13" s="2" t="str">
        <f aca="false">YEAR(AH10)&amp;"Q"&amp;ROUNDUP(MONTH(AH10)/3,0)</f>
        <v>2033Q1</v>
      </c>
      <c r="AI13" s="2" t="str">
        <f aca="false">YEAR(AI10)&amp;"Q"&amp;ROUNDUP(MONTH(AI10)/3,0)</f>
        <v>2033Q2</v>
      </c>
      <c r="AJ13" s="2" t="str">
        <f aca="false">YEAR(AJ10)&amp;"Q"&amp;ROUNDUP(MONTH(AJ10)/3,0)</f>
        <v>2033Q3</v>
      </c>
      <c r="AK13" s="2" t="str">
        <f aca="false">YEAR(AK10)&amp;"Q"&amp;ROUNDUP(MONTH(AK10)/3,0)</f>
        <v>2033Q4</v>
      </c>
      <c r="AL13" s="2" t="str">
        <f aca="false">YEAR(AL10)&amp;"Q"&amp;ROUNDUP(MONTH(AL10)/3,0)</f>
        <v>2034Q1</v>
      </c>
      <c r="AM13" s="2" t="str">
        <f aca="false">YEAR(AM10)&amp;"Q"&amp;ROUNDUP(MONTH(AM10)/3,0)</f>
        <v>2034Q2</v>
      </c>
      <c r="AN13" s="2" t="str">
        <f aca="false">YEAR(AN10)&amp;"Q"&amp;ROUNDUP(MONTH(AN10)/3,0)</f>
        <v>2034Q3</v>
      </c>
      <c r="AO13" s="2" t="str">
        <f aca="false">YEAR(AO10)&amp;"Q"&amp;ROUNDUP(MONTH(AO10)/3,0)</f>
        <v>2034Q4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60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20</v>
      </c>
      <c r="G1" s="3" t="s">
        <v>43</v>
      </c>
      <c r="H1" s="3" t="s">
        <v>44</v>
      </c>
      <c r="I1" s="3" t="s">
        <v>45</v>
      </c>
      <c r="J1" s="3" t="s">
        <v>21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9" t="n">
        <v>400</v>
      </c>
      <c r="G2" s="2"/>
      <c r="H2" s="2"/>
      <c r="I2" s="2" t="s">
        <v>51</v>
      </c>
      <c r="J2" s="2"/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48</v>
      </c>
      <c r="D3" s="2" t="s">
        <v>54</v>
      </c>
      <c r="E3" s="2" t="s">
        <v>55</v>
      </c>
      <c r="F3" s="10" t="s">
        <v>56</v>
      </c>
      <c r="G3" s="2"/>
      <c r="H3" s="2"/>
      <c r="I3" s="2" t="s">
        <v>51</v>
      </c>
      <c r="J3" s="2" t="s">
        <v>57</v>
      </c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48</v>
      </c>
      <c r="D4" s="2" t="s">
        <v>60</v>
      </c>
      <c r="E4" s="2" t="s">
        <v>61</v>
      </c>
      <c r="F4" s="11" t="n">
        <v>15000</v>
      </c>
      <c r="G4" s="11" t="n">
        <v>10000</v>
      </c>
      <c r="H4" s="11" t="n">
        <v>22000</v>
      </c>
      <c r="I4" s="2" t="s">
        <v>51</v>
      </c>
      <c r="J4" s="2" t="s">
        <v>62</v>
      </c>
    </row>
    <row r="5" customFormat="false" ht="15" hidden="false" customHeight="false" outlineLevel="0" collapsed="false">
      <c r="A5" s="2" t="s">
        <v>63</v>
      </c>
      <c r="B5" s="2" t="s">
        <v>64</v>
      </c>
      <c r="C5" s="2" t="s">
        <v>48</v>
      </c>
      <c r="D5" s="2" t="s">
        <v>65</v>
      </c>
      <c r="E5" s="2" t="s">
        <v>66</v>
      </c>
      <c r="F5" s="10" t="s">
        <v>56</v>
      </c>
      <c r="G5" s="2"/>
      <c r="H5" s="2"/>
      <c r="I5" s="2" t="s">
        <v>51</v>
      </c>
      <c r="J5" s="2"/>
    </row>
    <row r="6" customFormat="false" ht="15" hidden="false" customHeight="false" outlineLevel="0" collapsed="false">
      <c r="A6" s="2" t="s">
        <v>67</v>
      </c>
      <c r="B6" s="2" t="s">
        <v>68</v>
      </c>
      <c r="C6" s="2" t="s">
        <v>48</v>
      </c>
      <c r="D6" s="2" t="s">
        <v>69</v>
      </c>
      <c r="E6" s="2" t="s">
        <v>70</v>
      </c>
      <c r="F6" s="12" t="n">
        <v>10</v>
      </c>
      <c r="G6" s="12" t="n">
        <v>7</v>
      </c>
      <c r="H6" s="12" t="n">
        <v>14</v>
      </c>
      <c r="I6" s="2" t="s">
        <v>51</v>
      </c>
      <c r="J6" s="2" t="s">
        <v>71</v>
      </c>
    </row>
    <row r="7" customFormat="false" ht="15" hidden="false" customHeight="false" outlineLevel="0" collapsed="false">
      <c r="A7" s="2" t="s">
        <v>72</v>
      </c>
      <c r="B7" s="2" t="s">
        <v>73</v>
      </c>
      <c r="C7" s="2" t="s">
        <v>48</v>
      </c>
      <c r="D7" s="2" t="s">
        <v>74</v>
      </c>
      <c r="E7" s="2" t="s">
        <v>75</v>
      </c>
      <c r="F7" s="13" t="n">
        <v>0.04</v>
      </c>
      <c r="G7" s="13" t="n">
        <v>0.02</v>
      </c>
      <c r="H7" s="13" t="n">
        <v>0.07</v>
      </c>
      <c r="I7" s="2" t="s">
        <v>51</v>
      </c>
      <c r="J7" s="2" t="s">
        <v>76</v>
      </c>
    </row>
    <row r="8" customFormat="false" ht="15" hidden="false" customHeight="false" outlineLevel="0" collapsed="false">
      <c r="A8" s="2" t="s">
        <v>77</v>
      </c>
      <c r="B8" s="2" t="s">
        <v>78</v>
      </c>
      <c r="C8" s="2" t="s">
        <v>79</v>
      </c>
      <c r="D8" s="2" t="s">
        <v>60</v>
      </c>
      <c r="E8" s="2" t="s">
        <v>61</v>
      </c>
      <c r="F8" s="11" t="n">
        <v>2000</v>
      </c>
      <c r="G8" s="11" t="n">
        <v>1500</v>
      </c>
      <c r="H8" s="11" t="n">
        <v>2600</v>
      </c>
      <c r="I8" s="2" t="s">
        <v>51</v>
      </c>
      <c r="J8" s="2" t="s">
        <v>80</v>
      </c>
    </row>
    <row r="9" customFormat="false" ht="15" hidden="false" customHeight="false" outlineLevel="0" collapsed="false">
      <c r="A9" s="2" t="s">
        <v>81</v>
      </c>
      <c r="B9" s="2" t="s">
        <v>82</v>
      </c>
      <c r="C9" s="2" t="s">
        <v>79</v>
      </c>
      <c r="D9" s="2" t="s">
        <v>74</v>
      </c>
      <c r="E9" s="2" t="s">
        <v>75</v>
      </c>
      <c r="F9" s="13" t="n">
        <v>0.03</v>
      </c>
      <c r="G9" s="13" t="n">
        <v>0</v>
      </c>
      <c r="H9" s="13" t="n">
        <v>0.06</v>
      </c>
      <c r="I9" s="2" t="s">
        <v>51</v>
      </c>
      <c r="J9" s="2"/>
    </row>
    <row r="10" customFormat="false" ht="15" hidden="false" customHeight="false" outlineLevel="0" collapsed="false">
      <c r="A10" s="2" t="s">
        <v>83</v>
      </c>
      <c r="B10" s="2" t="s">
        <v>84</v>
      </c>
      <c r="C10" s="2" t="s">
        <v>79</v>
      </c>
      <c r="D10" s="2" t="s">
        <v>69</v>
      </c>
      <c r="E10" s="2" t="s">
        <v>85</v>
      </c>
      <c r="F10" s="12" t="n">
        <v>3</v>
      </c>
      <c r="G10" s="2"/>
      <c r="H10" s="2"/>
      <c r="I10" s="2" t="s">
        <v>51</v>
      </c>
      <c r="J10" s="2" t="s">
        <v>86</v>
      </c>
    </row>
    <row r="11" customFormat="false" ht="15" hidden="false" customHeight="false" outlineLevel="0" collapsed="false">
      <c r="A11" s="2" t="s">
        <v>87</v>
      </c>
      <c r="B11" s="2" t="s">
        <v>88</v>
      </c>
      <c r="C11" s="2" t="s">
        <v>79</v>
      </c>
      <c r="D11" s="2" t="s">
        <v>69</v>
      </c>
      <c r="E11" s="2" t="s">
        <v>85</v>
      </c>
      <c r="F11" s="12" t="n">
        <v>12</v>
      </c>
      <c r="G11" s="2"/>
      <c r="H11" s="2"/>
      <c r="I11" s="2" t="s">
        <v>51</v>
      </c>
      <c r="J11" s="2" t="s">
        <v>86</v>
      </c>
    </row>
    <row r="12" customFormat="false" ht="15" hidden="false" customHeight="false" outlineLevel="0" collapsed="false">
      <c r="A12" s="2" t="s">
        <v>89</v>
      </c>
      <c r="B12" s="2" t="s">
        <v>90</v>
      </c>
      <c r="C12" s="2" t="s">
        <v>91</v>
      </c>
      <c r="D12" s="2" t="s">
        <v>60</v>
      </c>
      <c r="E12" s="2" t="s">
        <v>61</v>
      </c>
      <c r="F12" s="11" t="n">
        <v>140</v>
      </c>
      <c r="G12" s="11" t="n">
        <v>100</v>
      </c>
      <c r="H12" s="11" t="n">
        <v>200</v>
      </c>
      <c r="I12" s="2" t="s">
        <v>51</v>
      </c>
      <c r="J12" s="2" t="s">
        <v>92</v>
      </c>
    </row>
    <row r="13" customFormat="false" ht="15" hidden="false" customHeight="false" outlineLevel="0" collapsed="false">
      <c r="A13" s="2" t="s">
        <v>93</v>
      </c>
      <c r="B13" s="2" t="s">
        <v>94</v>
      </c>
      <c r="C13" s="2" t="s">
        <v>91</v>
      </c>
      <c r="D13" s="2" t="s">
        <v>74</v>
      </c>
      <c r="E13" s="2" t="s">
        <v>95</v>
      </c>
      <c r="F13" s="13" t="n">
        <v>0.06</v>
      </c>
      <c r="G13" s="2"/>
      <c r="H13" s="2"/>
      <c r="I13" s="2" t="s">
        <v>51</v>
      </c>
      <c r="J13" s="2"/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91</v>
      </c>
      <c r="D14" s="2" t="s">
        <v>74</v>
      </c>
      <c r="E14" s="2" t="s">
        <v>95</v>
      </c>
      <c r="F14" s="13" t="n">
        <v>0.025</v>
      </c>
      <c r="G14" s="2"/>
      <c r="H14" s="2"/>
      <c r="I14" s="2" t="s">
        <v>51</v>
      </c>
      <c r="J14" s="2"/>
    </row>
    <row r="15" customFormat="false" ht="15" hidden="false" customHeight="false" outlineLevel="0" collapsed="false">
      <c r="A15" s="2" t="s">
        <v>98</v>
      </c>
      <c r="B15" s="2" t="s">
        <v>99</v>
      </c>
      <c r="C15" s="2" t="s">
        <v>100</v>
      </c>
      <c r="D15" s="2" t="s">
        <v>60</v>
      </c>
      <c r="E15" s="2" t="s">
        <v>101</v>
      </c>
      <c r="F15" s="11" t="n">
        <v>45000</v>
      </c>
      <c r="G15" s="2"/>
      <c r="H15" s="2"/>
      <c r="I15" s="2" t="s">
        <v>51</v>
      </c>
      <c r="J15" s="2" t="s">
        <v>102</v>
      </c>
    </row>
    <row r="16" customFormat="false" ht="15" hidden="false" customHeight="false" outlineLevel="0" collapsed="false">
      <c r="A16" s="2" t="s">
        <v>103</v>
      </c>
      <c r="B16" s="2" t="s">
        <v>104</v>
      </c>
      <c r="C16" s="2" t="s">
        <v>100</v>
      </c>
      <c r="D16" s="2" t="s">
        <v>65</v>
      </c>
      <c r="E16" s="2" t="s">
        <v>66</v>
      </c>
      <c r="F16" s="10" t="s">
        <v>56</v>
      </c>
      <c r="G16" s="2"/>
      <c r="H16" s="2"/>
      <c r="I16" s="2" t="s">
        <v>51</v>
      </c>
      <c r="J16" s="2"/>
    </row>
    <row r="17" customFormat="false" ht="15" hidden="false" customHeight="false" outlineLevel="0" collapsed="false">
      <c r="A17" s="2" t="s">
        <v>105</v>
      </c>
      <c r="B17" s="2" t="s">
        <v>106</v>
      </c>
      <c r="C17" s="2" t="s">
        <v>100</v>
      </c>
      <c r="D17" s="2" t="s">
        <v>60</v>
      </c>
      <c r="E17" s="2" t="s">
        <v>101</v>
      </c>
      <c r="F17" s="11" t="n">
        <v>55000</v>
      </c>
      <c r="G17" s="2"/>
      <c r="H17" s="2"/>
      <c r="I17" s="2" t="s">
        <v>51</v>
      </c>
      <c r="J17" s="2" t="s">
        <v>107</v>
      </c>
    </row>
    <row r="18" customFormat="false" ht="15" hidden="false" customHeight="false" outlineLevel="0" collapsed="false">
      <c r="A18" s="2" t="s">
        <v>108</v>
      </c>
      <c r="B18" s="2" t="s">
        <v>109</v>
      </c>
      <c r="C18" s="2" t="s">
        <v>100</v>
      </c>
      <c r="D18" s="2" t="s">
        <v>65</v>
      </c>
      <c r="E18" s="2" t="s">
        <v>66</v>
      </c>
      <c r="F18" s="10" t="s">
        <v>56</v>
      </c>
      <c r="G18" s="2"/>
      <c r="H18" s="2"/>
      <c r="I18" s="2" t="s">
        <v>51</v>
      </c>
      <c r="J18" s="2" t="s">
        <v>110</v>
      </c>
    </row>
    <row r="19" customFormat="false" ht="15" hidden="false" customHeight="false" outlineLevel="0" collapsed="false">
      <c r="A19" s="2" t="s">
        <v>111</v>
      </c>
      <c r="B19" s="2" t="s">
        <v>112</v>
      </c>
      <c r="C19" s="2" t="s">
        <v>100</v>
      </c>
      <c r="D19" s="2" t="s">
        <v>60</v>
      </c>
      <c r="E19" s="2" t="s">
        <v>101</v>
      </c>
      <c r="F19" s="11" t="n">
        <v>40000</v>
      </c>
      <c r="G19" s="2"/>
      <c r="H19" s="2"/>
      <c r="I19" s="2" t="s">
        <v>51</v>
      </c>
      <c r="J19" s="2" t="s">
        <v>107</v>
      </c>
    </row>
    <row r="20" customFormat="false" ht="15" hidden="false" customHeight="false" outlineLevel="0" collapsed="false">
      <c r="A20" s="2" t="s">
        <v>113</v>
      </c>
      <c r="B20" s="2" t="s">
        <v>114</v>
      </c>
      <c r="C20" s="2" t="s">
        <v>100</v>
      </c>
      <c r="D20" s="2" t="s">
        <v>60</v>
      </c>
      <c r="E20" s="2" t="s">
        <v>55</v>
      </c>
      <c r="F20" s="11" t="n">
        <v>600000</v>
      </c>
      <c r="G20" s="2"/>
      <c r="H20" s="2"/>
      <c r="I20" s="2" t="s">
        <v>51</v>
      </c>
      <c r="J20" s="2" t="s">
        <v>115</v>
      </c>
    </row>
    <row r="21" customFormat="false" ht="15" hidden="false" customHeight="false" outlineLevel="0" collapsed="false">
      <c r="A21" s="2" t="s">
        <v>116</v>
      </c>
      <c r="B21" s="2" t="s">
        <v>117</v>
      </c>
      <c r="C21" s="2" t="s">
        <v>100</v>
      </c>
      <c r="D21" s="2" t="s">
        <v>74</v>
      </c>
      <c r="E21" s="2" t="s">
        <v>75</v>
      </c>
      <c r="F21" s="13" t="n">
        <v>0.025</v>
      </c>
      <c r="G21" s="2"/>
      <c r="H21" s="2"/>
      <c r="I21" s="2" t="s">
        <v>51</v>
      </c>
      <c r="J21" s="2"/>
    </row>
    <row r="22" customFormat="false" ht="15" hidden="false" customHeight="false" outlineLevel="0" collapsed="false">
      <c r="A22" s="2" t="s">
        <v>118</v>
      </c>
      <c r="B22" s="2" t="s">
        <v>119</v>
      </c>
      <c r="C22" s="2" t="s">
        <v>100</v>
      </c>
      <c r="D22" s="2" t="s">
        <v>60</v>
      </c>
      <c r="E22" s="2" t="s">
        <v>55</v>
      </c>
      <c r="F22" s="11" t="n">
        <v>6000000</v>
      </c>
      <c r="G22" s="2"/>
      <c r="H22" s="2"/>
      <c r="I22" s="2" t="s">
        <v>51</v>
      </c>
      <c r="J22" s="2" t="s">
        <v>120</v>
      </c>
    </row>
    <row r="23" customFormat="false" ht="15" hidden="false" customHeight="false" outlineLevel="0" collapsed="false">
      <c r="A23" s="2" t="s">
        <v>121</v>
      </c>
      <c r="B23" s="2" t="s">
        <v>122</v>
      </c>
      <c r="C23" s="2" t="s">
        <v>100</v>
      </c>
      <c r="D23" s="2" t="s">
        <v>123</v>
      </c>
      <c r="E23" s="2" t="s">
        <v>124</v>
      </c>
      <c r="F23" s="6" t="n">
        <v>9</v>
      </c>
      <c r="G23" s="2"/>
      <c r="H23" s="2"/>
      <c r="I23" s="2" t="s">
        <v>51</v>
      </c>
      <c r="J23" s="2"/>
    </row>
    <row r="24" customFormat="false" ht="15" hidden="false" customHeight="false" outlineLevel="0" collapsed="false">
      <c r="A24" s="2" t="s">
        <v>125</v>
      </c>
      <c r="B24" s="2" t="s">
        <v>126</v>
      </c>
      <c r="C24" s="2" t="s">
        <v>100</v>
      </c>
      <c r="D24" s="2" t="s">
        <v>123</v>
      </c>
      <c r="E24" s="2" t="s">
        <v>127</v>
      </c>
      <c r="F24" s="6" t="n">
        <v>4</v>
      </c>
      <c r="G24" s="2"/>
      <c r="H24" s="2"/>
      <c r="I24" s="2" t="s">
        <v>51</v>
      </c>
      <c r="J24" s="2"/>
    </row>
    <row r="25" customFormat="false" ht="15" hidden="false" customHeight="false" outlineLevel="0" collapsed="false">
      <c r="A25" s="2" t="s">
        <v>128</v>
      </c>
      <c r="B25" s="2" t="s">
        <v>129</v>
      </c>
      <c r="C25" s="2" t="s">
        <v>130</v>
      </c>
      <c r="D25" s="2" t="s">
        <v>54</v>
      </c>
      <c r="E25" s="2" t="s">
        <v>55</v>
      </c>
      <c r="F25" s="10" t="s">
        <v>56</v>
      </c>
      <c r="G25" s="2"/>
      <c r="H25" s="2"/>
      <c r="I25" s="2" t="s">
        <v>51</v>
      </c>
      <c r="J25" s="2" t="s">
        <v>131</v>
      </c>
    </row>
    <row r="26" customFormat="false" ht="15" hidden="false" customHeight="false" outlineLevel="0" collapsed="false">
      <c r="A26" s="2" t="s">
        <v>132</v>
      </c>
      <c r="B26" s="2" t="s">
        <v>133</v>
      </c>
      <c r="C26" s="2" t="s">
        <v>130</v>
      </c>
      <c r="D26" s="2" t="s">
        <v>74</v>
      </c>
      <c r="E26" s="2" t="s">
        <v>95</v>
      </c>
      <c r="F26" s="13" t="n">
        <v>0.015</v>
      </c>
      <c r="G26" s="2"/>
      <c r="H26" s="2"/>
      <c r="I26" s="2" t="s">
        <v>51</v>
      </c>
      <c r="J26" s="2"/>
    </row>
    <row r="27" customFormat="false" ht="15" hidden="false" customHeight="false" outlineLevel="0" collapsed="false">
      <c r="A27" s="2" t="s">
        <v>134</v>
      </c>
      <c r="B27" s="2" t="s">
        <v>135</v>
      </c>
      <c r="C27" s="2" t="s">
        <v>130</v>
      </c>
      <c r="D27" s="2" t="s">
        <v>123</v>
      </c>
      <c r="E27" s="2" t="s">
        <v>127</v>
      </c>
      <c r="F27" s="6" t="n">
        <v>12</v>
      </c>
      <c r="G27" s="2"/>
      <c r="H27" s="2"/>
      <c r="I27" s="2" t="s">
        <v>51</v>
      </c>
      <c r="J27" s="2" t="s">
        <v>136</v>
      </c>
    </row>
    <row r="28" customFormat="false" ht="15" hidden="false" customHeight="false" outlineLevel="0" collapsed="false">
      <c r="A28" s="2" t="s">
        <v>137</v>
      </c>
      <c r="B28" s="2" t="s">
        <v>138</v>
      </c>
      <c r="C28" s="2" t="s">
        <v>139</v>
      </c>
      <c r="D28" s="2" t="s">
        <v>69</v>
      </c>
      <c r="E28" s="2" t="s">
        <v>140</v>
      </c>
      <c r="F28" s="14" t="n">
        <v>45</v>
      </c>
      <c r="G28" s="2"/>
      <c r="H28" s="2"/>
      <c r="I28" s="2" t="s">
        <v>51</v>
      </c>
      <c r="J28" s="2"/>
    </row>
    <row r="29" customFormat="false" ht="15" hidden="false" customHeight="false" outlineLevel="0" collapsed="false">
      <c r="A29" s="2" t="s">
        <v>141</v>
      </c>
      <c r="B29" s="2" t="s">
        <v>142</v>
      </c>
      <c r="C29" s="2" t="s">
        <v>139</v>
      </c>
      <c r="D29" s="2" t="s">
        <v>69</v>
      </c>
      <c r="E29" s="2" t="s">
        <v>140</v>
      </c>
      <c r="F29" s="14" t="n">
        <v>30</v>
      </c>
      <c r="G29" s="2"/>
      <c r="H29" s="2"/>
      <c r="I29" s="2" t="s">
        <v>51</v>
      </c>
      <c r="J29" s="2"/>
    </row>
    <row r="30" customFormat="false" ht="15" hidden="false" customHeight="false" outlineLevel="0" collapsed="false">
      <c r="A30" s="2" t="s">
        <v>143</v>
      </c>
      <c r="B30" s="2" t="s">
        <v>144</v>
      </c>
      <c r="C30" s="2" t="s">
        <v>139</v>
      </c>
      <c r="D30" s="2" t="s">
        <v>69</v>
      </c>
      <c r="E30" s="2" t="s">
        <v>140</v>
      </c>
      <c r="F30" s="14" t="n">
        <v>91.25</v>
      </c>
      <c r="G30" s="2"/>
      <c r="H30" s="2"/>
      <c r="I30" s="2" t="s">
        <v>51</v>
      </c>
      <c r="J30" s="2" t="s">
        <v>86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139</v>
      </c>
      <c r="D31" s="2" t="s">
        <v>74</v>
      </c>
      <c r="E31" s="2" t="s">
        <v>95</v>
      </c>
      <c r="F31" s="13" t="n">
        <v>0.4</v>
      </c>
      <c r="G31" s="2"/>
      <c r="H31" s="2"/>
      <c r="I31" s="2" t="s">
        <v>51</v>
      </c>
      <c r="J31" s="2" t="s">
        <v>147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139</v>
      </c>
      <c r="D32" s="2" t="s">
        <v>69</v>
      </c>
      <c r="E32" s="2" t="s">
        <v>127</v>
      </c>
      <c r="F32" s="12" t="n">
        <v>1.5</v>
      </c>
      <c r="G32" s="2"/>
      <c r="H32" s="2"/>
      <c r="I32" s="2" t="s">
        <v>51</v>
      </c>
      <c r="J32" s="2" t="s">
        <v>150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139</v>
      </c>
      <c r="D33" s="2" t="s">
        <v>74</v>
      </c>
      <c r="E33" s="2" t="s">
        <v>75</v>
      </c>
      <c r="F33" s="13" t="n">
        <v>0.25</v>
      </c>
      <c r="G33" s="2"/>
      <c r="H33" s="2"/>
      <c r="I33" s="2" t="s">
        <v>51</v>
      </c>
      <c r="J33" s="2" t="s">
        <v>153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139</v>
      </c>
      <c r="D34" s="2" t="s">
        <v>60</v>
      </c>
      <c r="E34" s="2" t="s">
        <v>55</v>
      </c>
      <c r="F34" s="11" t="n">
        <v>25000000</v>
      </c>
      <c r="G34" s="2"/>
      <c r="H34" s="2"/>
      <c r="I34" s="2" t="s">
        <v>51</v>
      </c>
      <c r="J34" s="2"/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139</v>
      </c>
      <c r="D35" s="2" t="s">
        <v>54</v>
      </c>
      <c r="E35" s="2" t="s">
        <v>55</v>
      </c>
      <c r="F35" s="10" t="s">
        <v>56</v>
      </c>
      <c r="G35" s="2"/>
      <c r="H35" s="2"/>
      <c r="I35" s="2" t="s">
        <v>51</v>
      </c>
      <c r="J35" s="2" t="s">
        <v>158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139</v>
      </c>
      <c r="D36" s="2" t="s">
        <v>60</v>
      </c>
      <c r="E36" s="2" t="s">
        <v>55</v>
      </c>
      <c r="F36" s="11" t="n">
        <v>8000000</v>
      </c>
      <c r="G36" s="2"/>
      <c r="H36" s="2"/>
      <c r="I36" s="2" t="s">
        <v>51</v>
      </c>
      <c r="J36" s="2" t="s">
        <v>161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74</v>
      </c>
      <c r="E37" s="2" t="s">
        <v>75</v>
      </c>
      <c r="F37" s="13" t="n">
        <v>0.18</v>
      </c>
      <c r="G37" s="13" t="n">
        <v>0.12</v>
      </c>
      <c r="H37" s="13" t="n">
        <v>0.25</v>
      </c>
      <c r="I37" s="2" t="s">
        <v>51</v>
      </c>
      <c r="J37" s="2" t="s">
        <v>165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164</v>
      </c>
      <c r="D38" s="2" t="s">
        <v>74</v>
      </c>
      <c r="E38" s="2" t="s">
        <v>75</v>
      </c>
      <c r="F38" s="13" t="n">
        <v>0.03</v>
      </c>
      <c r="G38" s="13" t="n">
        <v>0</v>
      </c>
      <c r="H38" s="13" t="n">
        <v>0.05</v>
      </c>
      <c r="I38" s="2" t="s">
        <v>51</v>
      </c>
      <c r="J38" s="2"/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164</v>
      </c>
      <c r="D39" s="2" t="s">
        <v>74</v>
      </c>
      <c r="E39" s="2" t="s">
        <v>75</v>
      </c>
      <c r="F39" s="13" t="n">
        <v>0.05</v>
      </c>
      <c r="G39" s="2"/>
      <c r="H39" s="2"/>
      <c r="I39" s="2" t="s">
        <v>51</v>
      </c>
      <c r="J39" s="2" t="s">
        <v>170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164</v>
      </c>
      <c r="D40" s="2" t="s">
        <v>123</v>
      </c>
      <c r="E40" s="2" t="s">
        <v>124</v>
      </c>
      <c r="F40" s="6" t="n">
        <v>32</v>
      </c>
      <c r="G40" s="2"/>
      <c r="H40" s="2"/>
      <c r="I40" s="2" t="s">
        <v>51</v>
      </c>
      <c r="J40" s="2" t="s">
        <v>173</v>
      </c>
    </row>
  </sheetData>
  <autoFilter ref="A1:J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2"/>
    <col collapsed="false" customWidth="true" hidden="false" outlineLevel="0" max="9" min="9" style="0" width="8"/>
    <col collapsed="false" customWidth="true" hidden="false" outlineLevel="0" max="41" min="10" style="0" width="13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45</v>
      </c>
      <c r="G1" s="3" t="s">
        <v>21</v>
      </c>
      <c r="H1" s="3"/>
      <c r="I1" s="3" t="s">
        <v>174</v>
      </c>
      <c r="J1" s="15" t="n">
        <v>1</v>
      </c>
      <c r="K1" s="15" t="n">
        <v>2</v>
      </c>
      <c r="L1" s="15" t="n">
        <v>3</v>
      </c>
      <c r="M1" s="15" t="n">
        <v>4</v>
      </c>
      <c r="N1" s="15" t="n">
        <v>5</v>
      </c>
      <c r="O1" s="15" t="n">
        <v>6</v>
      </c>
      <c r="P1" s="15" t="n">
        <v>7</v>
      </c>
      <c r="Q1" s="15" t="n">
        <v>8</v>
      </c>
      <c r="R1" s="15" t="n">
        <v>9</v>
      </c>
      <c r="S1" s="15" t="n">
        <v>10</v>
      </c>
      <c r="T1" s="15" t="n">
        <v>11</v>
      </c>
      <c r="U1" s="15" t="n">
        <v>12</v>
      </c>
      <c r="V1" s="15" t="n">
        <v>13</v>
      </c>
      <c r="W1" s="15" t="n">
        <v>14</v>
      </c>
      <c r="X1" s="15" t="n">
        <v>15</v>
      </c>
      <c r="Y1" s="15" t="n">
        <v>16</v>
      </c>
      <c r="Z1" s="15" t="n">
        <v>17</v>
      </c>
      <c r="AA1" s="15" t="n">
        <v>18</v>
      </c>
      <c r="AB1" s="15" t="n">
        <v>19</v>
      </c>
      <c r="AC1" s="15" t="n">
        <v>20</v>
      </c>
      <c r="AD1" s="15" t="n">
        <v>21</v>
      </c>
      <c r="AE1" s="15" t="n">
        <v>22</v>
      </c>
      <c r="AF1" s="15" t="n">
        <v>23</v>
      </c>
      <c r="AG1" s="15" t="n">
        <v>24</v>
      </c>
      <c r="AH1" s="15" t="n">
        <v>25</v>
      </c>
      <c r="AI1" s="15" t="n">
        <v>26</v>
      </c>
      <c r="AJ1" s="15" t="n">
        <v>27</v>
      </c>
      <c r="AK1" s="15" t="n">
        <v>28</v>
      </c>
      <c r="AL1" s="15" t="n">
        <v>29</v>
      </c>
      <c r="AM1" s="15" t="n">
        <v>30</v>
      </c>
      <c r="AN1" s="15" t="n">
        <v>31</v>
      </c>
      <c r="AO1" s="15" t="n">
        <v>32</v>
      </c>
    </row>
    <row r="2" customFormat="false" ht="15" hidden="false" customHeight="false" outlineLevel="0" collapsed="false">
      <c r="A2" s="10" t="s">
        <v>175</v>
      </c>
      <c r="J2" s="16" t="str">
        <f aca="false">Timeline!J$13</f>
        <v>2027Q1</v>
      </c>
      <c r="K2" s="16" t="str">
        <f aca="false">Timeline!K$13</f>
        <v>2027Q2</v>
      </c>
      <c r="L2" s="16" t="str">
        <f aca="false">Timeline!L$13</f>
        <v>2027Q3</v>
      </c>
      <c r="M2" s="16" t="str">
        <f aca="false">Timeline!M$13</f>
        <v>2027Q4</v>
      </c>
      <c r="N2" s="16" t="str">
        <f aca="false">Timeline!N$13</f>
        <v>2028Q1</v>
      </c>
      <c r="O2" s="16" t="str">
        <f aca="false">Timeline!O$13</f>
        <v>2028Q2</v>
      </c>
      <c r="P2" s="16" t="str">
        <f aca="false">Timeline!P$13</f>
        <v>2028Q3</v>
      </c>
      <c r="Q2" s="16" t="str">
        <f aca="false">Timeline!Q$13</f>
        <v>2028Q4</v>
      </c>
      <c r="R2" s="16" t="str">
        <f aca="false">Timeline!R$13</f>
        <v>2029Q1</v>
      </c>
      <c r="S2" s="16" t="str">
        <f aca="false">Timeline!S$13</f>
        <v>2029Q2</v>
      </c>
      <c r="T2" s="16" t="str">
        <f aca="false">Timeline!T$13</f>
        <v>2029Q3</v>
      </c>
      <c r="U2" s="16" t="str">
        <f aca="false">Timeline!U$13</f>
        <v>2029Q4</v>
      </c>
      <c r="V2" s="16" t="str">
        <f aca="false">Timeline!V$13</f>
        <v>2030Q1</v>
      </c>
      <c r="W2" s="16" t="str">
        <f aca="false">Timeline!W$13</f>
        <v>2030Q2</v>
      </c>
      <c r="X2" s="16" t="str">
        <f aca="false">Timeline!X$13</f>
        <v>2030Q3</v>
      </c>
      <c r="Y2" s="16" t="str">
        <f aca="false">Timeline!Y$13</f>
        <v>2030Q4</v>
      </c>
      <c r="Z2" s="16" t="str">
        <f aca="false">Timeline!Z$13</f>
        <v>2031Q1</v>
      </c>
      <c r="AA2" s="16" t="str">
        <f aca="false">Timeline!AA$13</f>
        <v>2031Q2</v>
      </c>
      <c r="AB2" s="16" t="str">
        <f aca="false">Timeline!AB$13</f>
        <v>2031Q3</v>
      </c>
      <c r="AC2" s="16" t="str">
        <f aca="false">Timeline!AC$13</f>
        <v>2031Q4</v>
      </c>
      <c r="AD2" s="16" t="str">
        <f aca="false">Timeline!AD$13</f>
        <v>2032Q1</v>
      </c>
      <c r="AE2" s="16" t="str">
        <f aca="false">Timeline!AE$13</f>
        <v>2032Q2</v>
      </c>
      <c r="AF2" s="16" t="str">
        <f aca="false">Timeline!AF$13</f>
        <v>2032Q3</v>
      </c>
      <c r="AG2" s="16" t="str">
        <f aca="false">Timeline!AG$13</f>
        <v>2032Q4</v>
      </c>
      <c r="AH2" s="16" t="str">
        <f aca="false">Timeline!AH$13</f>
        <v>2033Q1</v>
      </c>
      <c r="AI2" s="16" t="str">
        <f aca="false">Timeline!AI$13</f>
        <v>2033Q2</v>
      </c>
      <c r="AJ2" s="16" t="str">
        <f aca="false">Timeline!AJ$13</f>
        <v>2033Q3</v>
      </c>
      <c r="AK2" s="16" t="str">
        <f aca="false">Timeline!AK$13</f>
        <v>2033Q4</v>
      </c>
      <c r="AL2" s="16" t="str">
        <f aca="false">Timeline!AL$13</f>
        <v>2034Q1</v>
      </c>
      <c r="AM2" s="16" t="str">
        <f aca="false">Timeline!AM$13</f>
        <v>2034Q2</v>
      </c>
      <c r="AN2" s="16" t="str">
        <f aca="false">Timeline!AN$13</f>
        <v>2034Q3</v>
      </c>
      <c r="AO2" s="16" t="str">
        <f aca="false">Timeline!AO$13</f>
        <v>2034Q4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48</v>
      </c>
      <c r="D3" s="2" t="s">
        <v>54</v>
      </c>
      <c r="E3" s="2" t="s">
        <v>55</v>
      </c>
      <c r="F3" s="2" t="s">
        <v>51</v>
      </c>
      <c r="G3" s="2" t="s">
        <v>176</v>
      </c>
      <c r="J3" s="11" t="n">
        <v>600000</v>
      </c>
      <c r="K3" s="11" t="n">
        <v>700000</v>
      </c>
      <c r="L3" s="11" t="n">
        <v>800000</v>
      </c>
      <c r="M3" s="11" t="n">
        <v>900000</v>
      </c>
      <c r="N3" s="11" t="n">
        <v>1000000</v>
      </c>
      <c r="O3" s="11" t="n">
        <v>1100000</v>
      </c>
      <c r="P3" s="11" t="n">
        <v>1200000</v>
      </c>
      <c r="Q3" s="11" t="n">
        <v>1300000</v>
      </c>
      <c r="R3" s="11" t="n">
        <v>1400000</v>
      </c>
      <c r="S3" s="11" t="n">
        <v>1500000</v>
      </c>
      <c r="T3" s="11" t="n">
        <v>1600000</v>
      </c>
      <c r="U3" s="11" t="n">
        <v>1700000</v>
      </c>
      <c r="V3" s="11" t="n">
        <v>1800000</v>
      </c>
      <c r="W3" s="11" t="n">
        <v>1900000</v>
      </c>
      <c r="X3" s="11" t="n">
        <v>2000000</v>
      </c>
      <c r="Y3" s="11" t="n">
        <v>2100000</v>
      </c>
      <c r="Z3" s="11" t="n">
        <v>2200000</v>
      </c>
      <c r="AA3" s="11" t="n">
        <v>2260000</v>
      </c>
      <c r="AB3" s="11" t="n">
        <v>2320000</v>
      </c>
      <c r="AC3" s="11" t="n">
        <v>2380000</v>
      </c>
      <c r="AD3" s="11" t="n">
        <v>2440000</v>
      </c>
      <c r="AE3" s="11" t="n">
        <v>2500000</v>
      </c>
      <c r="AF3" s="11" t="n">
        <v>2560000</v>
      </c>
      <c r="AG3" s="11" t="n">
        <v>2620000</v>
      </c>
      <c r="AH3" s="11" t="n">
        <v>2680000</v>
      </c>
      <c r="AI3" s="11" t="n">
        <v>2740000</v>
      </c>
      <c r="AJ3" s="11" t="n">
        <v>2800000</v>
      </c>
      <c r="AK3" s="11" t="n">
        <v>2860000</v>
      </c>
      <c r="AL3" s="11" t="n">
        <v>2920000</v>
      </c>
      <c r="AM3" s="11" t="n">
        <v>2980000</v>
      </c>
      <c r="AN3" s="11" t="n">
        <v>3040000</v>
      </c>
      <c r="AO3" s="11" t="n">
        <v>3100000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48</v>
      </c>
      <c r="D4" s="2" t="s">
        <v>65</v>
      </c>
      <c r="E4" s="2" t="s">
        <v>66</v>
      </c>
      <c r="F4" s="2" t="s">
        <v>51</v>
      </c>
      <c r="G4" s="2" t="s">
        <v>176</v>
      </c>
      <c r="J4" s="6" t="n">
        <v>6</v>
      </c>
      <c r="K4" s="6" t="n">
        <v>6</v>
      </c>
      <c r="L4" s="6" t="n">
        <v>7</v>
      </c>
      <c r="M4" s="6" t="n">
        <v>8</v>
      </c>
      <c r="N4" s="6" t="n">
        <v>9</v>
      </c>
      <c r="O4" s="6" t="n">
        <v>10</v>
      </c>
      <c r="P4" s="6" t="n">
        <v>11</v>
      </c>
      <c r="Q4" s="6" t="n">
        <v>12</v>
      </c>
      <c r="R4" s="6" t="n">
        <v>13</v>
      </c>
      <c r="S4" s="6" t="n">
        <v>14</v>
      </c>
      <c r="T4" s="6" t="n">
        <v>15</v>
      </c>
      <c r="U4" s="6" t="n">
        <v>16</v>
      </c>
      <c r="V4" s="6" t="n">
        <v>17</v>
      </c>
      <c r="W4" s="6" t="n">
        <v>18</v>
      </c>
      <c r="X4" s="6" t="n">
        <v>19</v>
      </c>
      <c r="Y4" s="6" t="n">
        <v>20</v>
      </c>
      <c r="Z4" s="6" t="n">
        <v>21</v>
      </c>
      <c r="AA4" s="6" t="n">
        <v>21</v>
      </c>
      <c r="AB4" s="6" t="n">
        <v>22</v>
      </c>
      <c r="AC4" s="6" t="n">
        <v>22</v>
      </c>
      <c r="AD4" s="6" t="n">
        <v>23</v>
      </c>
      <c r="AE4" s="6" t="n">
        <v>23</v>
      </c>
      <c r="AF4" s="6" t="n">
        <v>24</v>
      </c>
      <c r="AG4" s="6" t="n">
        <v>24</v>
      </c>
      <c r="AH4" s="6" t="n">
        <v>25</v>
      </c>
      <c r="AI4" s="6" t="n">
        <v>25</v>
      </c>
      <c r="AJ4" s="6" t="n">
        <v>26</v>
      </c>
      <c r="AK4" s="6" t="n">
        <v>26</v>
      </c>
      <c r="AL4" s="6" t="n">
        <v>27</v>
      </c>
      <c r="AM4" s="6" t="n">
        <v>27</v>
      </c>
      <c r="AN4" s="6" t="n">
        <v>28</v>
      </c>
      <c r="AO4" s="6" t="n">
        <v>28</v>
      </c>
    </row>
    <row r="5" customFormat="false" ht="15" hidden="false" customHeight="false" outlineLevel="0" collapsed="false">
      <c r="A5" s="2" t="s">
        <v>103</v>
      </c>
      <c r="B5" s="2" t="s">
        <v>104</v>
      </c>
      <c r="C5" s="2" t="s">
        <v>100</v>
      </c>
      <c r="D5" s="2" t="s">
        <v>65</v>
      </c>
      <c r="E5" s="2" t="s">
        <v>66</v>
      </c>
      <c r="F5" s="2" t="s">
        <v>51</v>
      </c>
      <c r="G5" s="2" t="s">
        <v>176</v>
      </c>
      <c r="J5" s="6" t="n">
        <v>20</v>
      </c>
      <c r="K5" s="6" t="n">
        <v>21</v>
      </c>
      <c r="L5" s="6" t="n">
        <v>22</v>
      </c>
      <c r="M5" s="6" t="n">
        <v>24</v>
      </c>
      <c r="N5" s="6" t="n">
        <v>26</v>
      </c>
      <c r="O5" s="6" t="n">
        <v>28</v>
      </c>
      <c r="P5" s="6" t="n">
        <v>30</v>
      </c>
      <c r="Q5" s="6" t="n">
        <v>32</v>
      </c>
      <c r="R5" s="6" t="n">
        <v>34</v>
      </c>
      <c r="S5" s="6" t="n">
        <v>36</v>
      </c>
      <c r="T5" s="6" t="n">
        <v>38</v>
      </c>
      <c r="U5" s="6" t="n">
        <v>40</v>
      </c>
      <c r="V5" s="6" t="n">
        <v>41</v>
      </c>
      <c r="W5" s="6" t="n">
        <v>42</v>
      </c>
      <c r="X5" s="6" t="n">
        <v>43</v>
      </c>
      <c r="Y5" s="6" t="n">
        <v>44</v>
      </c>
      <c r="Z5" s="6" t="n">
        <v>45</v>
      </c>
      <c r="AA5" s="6" t="n">
        <v>46</v>
      </c>
      <c r="AB5" s="6" t="n">
        <v>47</v>
      </c>
      <c r="AC5" s="6" t="n">
        <v>48</v>
      </c>
      <c r="AD5" s="6" t="n">
        <v>49</v>
      </c>
      <c r="AE5" s="6" t="n">
        <v>50</v>
      </c>
      <c r="AF5" s="6" t="n">
        <v>51</v>
      </c>
      <c r="AG5" s="6" t="n">
        <v>52</v>
      </c>
      <c r="AH5" s="6" t="n">
        <v>53</v>
      </c>
      <c r="AI5" s="6" t="n">
        <v>54</v>
      </c>
      <c r="AJ5" s="6" t="n">
        <v>55</v>
      </c>
      <c r="AK5" s="6" t="n">
        <v>56</v>
      </c>
      <c r="AL5" s="6" t="n">
        <v>57</v>
      </c>
      <c r="AM5" s="6" t="n">
        <v>58</v>
      </c>
      <c r="AN5" s="6" t="n">
        <v>59</v>
      </c>
      <c r="AO5" s="6" t="n">
        <v>60</v>
      </c>
    </row>
    <row r="6" customFormat="false" ht="15" hidden="false" customHeight="false" outlineLevel="0" collapsed="false">
      <c r="A6" s="2" t="s">
        <v>108</v>
      </c>
      <c r="B6" s="2" t="s">
        <v>109</v>
      </c>
      <c r="C6" s="2" t="s">
        <v>100</v>
      </c>
      <c r="D6" s="2" t="s">
        <v>65</v>
      </c>
      <c r="E6" s="2" t="s">
        <v>66</v>
      </c>
      <c r="F6" s="2" t="s">
        <v>51</v>
      </c>
      <c r="G6" s="2" t="s">
        <v>176</v>
      </c>
      <c r="J6" s="6" t="n">
        <v>6</v>
      </c>
      <c r="K6" s="6" t="n">
        <v>6</v>
      </c>
      <c r="L6" s="6" t="n">
        <v>6</v>
      </c>
      <c r="M6" s="6" t="n">
        <v>6</v>
      </c>
      <c r="N6" s="6" t="n">
        <v>8</v>
      </c>
      <c r="O6" s="6" t="n">
        <v>8</v>
      </c>
      <c r="P6" s="6" t="n">
        <v>8</v>
      </c>
      <c r="Q6" s="6" t="n">
        <v>8</v>
      </c>
      <c r="R6" s="6" t="n">
        <v>10</v>
      </c>
      <c r="S6" s="6" t="n">
        <v>10</v>
      </c>
      <c r="T6" s="6" t="n">
        <v>10</v>
      </c>
      <c r="U6" s="6" t="n">
        <v>10</v>
      </c>
      <c r="V6" s="6" t="n">
        <v>12</v>
      </c>
      <c r="W6" s="6" t="n">
        <v>12</v>
      </c>
      <c r="X6" s="6" t="n">
        <v>12</v>
      </c>
      <c r="Y6" s="6" t="n">
        <v>12</v>
      </c>
      <c r="Z6" s="6" t="n">
        <v>14</v>
      </c>
      <c r="AA6" s="6" t="n">
        <v>14</v>
      </c>
      <c r="AB6" s="6" t="n">
        <v>14</v>
      </c>
      <c r="AC6" s="6" t="n">
        <v>14</v>
      </c>
      <c r="AD6" s="6" t="n">
        <v>15</v>
      </c>
      <c r="AE6" s="6" t="n">
        <v>15</v>
      </c>
      <c r="AF6" s="6" t="n">
        <v>15</v>
      </c>
      <c r="AG6" s="6" t="n">
        <v>15</v>
      </c>
      <c r="AH6" s="6" t="n">
        <v>16</v>
      </c>
      <c r="AI6" s="6" t="n">
        <v>16</v>
      </c>
      <c r="AJ6" s="6" t="n">
        <v>16</v>
      </c>
      <c r="AK6" s="6" t="n">
        <v>16</v>
      </c>
      <c r="AL6" s="6" t="n">
        <v>17</v>
      </c>
      <c r="AM6" s="6" t="n">
        <v>17</v>
      </c>
      <c r="AN6" s="6" t="n">
        <v>17</v>
      </c>
      <c r="AO6" s="6" t="n">
        <v>17</v>
      </c>
    </row>
    <row r="7" customFormat="false" ht="15" hidden="false" customHeight="false" outlineLevel="0" collapsed="false">
      <c r="A7" s="2" t="s">
        <v>128</v>
      </c>
      <c r="B7" s="2" t="s">
        <v>129</v>
      </c>
      <c r="C7" s="2" t="s">
        <v>130</v>
      </c>
      <c r="D7" s="2" t="s">
        <v>54</v>
      </c>
      <c r="E7" s="2" t="s">
        <v>55</v>
      </c>
      <c r="F7" s="2" t="s">
        <v>51</v>
      </c>
      <c r="G7" s="2" t="s">
        <v>176</v>
      </c>
      <c r="J7" s="11" t="n">
        <v>400000</v>
      </c>
      <c r="K7" s="11" t="n">
        <v>400000</v>
      </c>
      <c r="L7" s="11" t="n">
        <v>400000</v>
      </c>
      <c r="M7" s="11" t="n">
        <v>400000</v>
      </c>
      <c r="N7" s="11" t="n">
        <v>250000</v>
      </c>
      <c r="O7" s="11" t="n">
        <v>250000</v>
      </c>
      <c r="P7" s="11" t="n">
        <v>250000</v>
      </c>
      <c r="Q7" s="11" t="n">
        <v>250000</v>
      </c>
      <c r="R7" s="11" t="n">
        <v>900000</v>
      </c>
      <c r="S7" s="11" t="n">
        <v>900000</v>
      </c>
      <c r="T7" s="11" t="n">
        <v>900000</v>
      </c>
      <c r="U7" s="11" t="n">
        <v>900000</v>
      </c>
      <c r="V7" s="11" t="n">
        <v>300000</v>
      </c>
      <c r="W7" s="11" t="n">
        <v>300000</v>
      </c>
      <c r="X7" s="11" t="n">
        <v>300000</v>
      </c>
      <c r="Y7" s="11" t="n">
        <v>300000</v>
      </c>
      <c r="Z7" s="11" t="n">
        <v>300000</v>
      </c>
      <c r="AA7" s="11" t="n">
        <v>300000</v>
      </c>
      <c r="AB7" s="11" t="n">
        <v>300000</v>
      </c>
      <c r="AC7" s="11" t="n">
        <v>300000</v>
      </c>
      <c r="AD7" s="11" t="n">
        <v>300000</v>
      </c>
      <c r="AE7" s="11" t="n">
        <v>300000</v>
      </c>
      <c r="AF7" s="11" t="n">
        <v>300000</v>
      </c>
      <c r="AG7" s="11" t="n">
        <v>300000</v>
      </c>
      <c r="AH7" s="11" t="n">
        <v>300000</v>
      </c>
      <c r="AI7" s="11" t="n">
        <v>300000</v>
      </c>
      <c r="AJ7" s="11" t="n">
        <v>300000</v>
      </c>
      <c r="AK7" s="11" t="n">
        <v>300000</v>
      </c>
      <c r="AL7" s="11" t="n">
        <v>300000</v>
      </c>
      <c r="AM7" s="11" t="n">
        <v>300000</v>
      </c>
      <c r="AN7" s="11" t="n">
        <v>300000</v>
      </c>
      <c r="AO7" s="11" t="n">
        <v>300000</v>
      </c>
    </row>
    <row r="8" customFormat="false" ht="15" hidden="false" customHeight="false" outlineLevel="0" collapsed="false">
      <c r="A8" s="2" t="s">
        <v>156</v>
      </c>
      <c r="B8" s="2" t="s">
        <v>157</v>
      </c>
      <c r="C8" s="2" t="s">
        <v>139</v>
      </c>
      <c r="D8" s="2" t="s">
        <v>54</v>
      </c>
      <c r="E8" s="2" t="s">
        <v>55</v>
      </c>
      <c r="F8" s="2" t="s">
        <v>51</v>
      </c>
      <c r="G8" s="2" t="s">
        <v>176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30000000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40000000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41" min="10" style="0" width="13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177</v>
      </c>
      <c r="G1" s="3" t="s">
        <v>178</v>
      </c>
      <c r="H1" s="3" t="s">
        <v>21</v>
      </c>
      <c r="I1" s="3" t="s">
        <v>174</v>
      </c>
      <c r="J1" s="15" t="n">
        <v>1</v>
      </c>
      <c r="K1" s="15" t="n">
        <v>2</v>
      </c>
      <c r="L1" s="15" t="n">
        <v>3</v>
      </c>
      <c r="M1" s="15" t="n">
        <v>4</v>
      </c>
      <c r="N1" s="15" t="n">
        <v>5</v>
      </c>
      <c r="O1" s="15" t="n">
        <v>6</v>
      </c>
      <c r="P1" s="15" t="n">
        <v>7</v>
      </c>
      <c r="Q1" s="15" t="n">
        <v>8</v>
      </c>
      <c r="R1" s="15" t="n">
        <v>9</v>
      </c>
      <c r="S1" s="15" t="n">
        <v>10</v>
      </c>
      <c r="T1" s="15" t="n">
        <v>11</v>
      </c>
      <c r="U1" s="15" t="n">
        <v>12</v>
      </c>
      <c r="V1" s="15" t="n">
        <v>13</v>
      </c>
      <c r="W1" s="15" t="n">
        <v>14</v>
      </c>
      <c r="X1" s="15" t="n">
        <v>15</v>
      </c>
      <c r="Y1" s="15" t="n">
        <v>16</v>
      </c>
      <c r="Z1" s="15" t="n">
        <v>17</v>
      </c>
      <c r="AA1" s="15" t="n">
        <v>18</v>
      </c>
      <c r="AB1" s="15" t="n">
        <v>19</v>
      </c>
      <c r="AC1" s="15" t="n">
        <v>20</v>
      </c>
      <c r="AD1" s="15" t="n">
        <v>21</v>
      </c>
      <c r="AE1" s="15" t="n">
        <v>22</v>
      </c>
      <c r="AF1" s="15" t="n">
        <v>23</v>
      </c>
      <c r="AG1" s="15" t="n">
        <v>24</v>
      </c>
      <c r="AH1" s="15" t="n">
        <v>25</v>
      </c>
      <c r="AI1" s="15" t="n">
        <v>26</v>
      </c>
      <c r="AJ1" s="15" t="n">
        <v>27</v>
      </c>
      <c r="AK1" s="15" t="n">
        <v>28</v>
      </c>
      <c r="AL1" s="15" t="n">
        <v>29</v>
      </c>
      <c r="AM1" s="15" t="n">
        <v>30</v>
      </c>
      <c r="AN1" s="15" t="n">
        <v>31</v>
      </c>
      <c r="AO1" s="15" t="n">
        <v>32</v>
      </c>
    </row>
    <row r="2" customFormat="false" ht="15" hidden="false" customHeight="false" outlineLevel="0" collapsed="false">
      <c r="A2" s="10" t="s">
        <v>175</v>
      </c>
      <c r="J2" s="16" t="str">
        <f aca="false">Timeline!J$13</f>
        <v>2027Q1</v>
      </c>
      <c r="K2" s="16" t="str">
        <f aca="false">Timeline!K$13</f>
        <v>2027Q2</v>
      </c>
      <c r="L2" s="16" t="str">
        <f aca="false">Timeline!L$13</f>
        <v>2027Q3</v>
      </c>
      <c r="M2" s="16" t="str">
        <f aca="false">Timeline!M$13</f>
        <v>2027Q4</v>
      </c>
      <c r="N2" s="16" t="str">
        <f aca="false">Timeline!N$13</f>
        <v>2028Q1</v>
      </c>
      <c r="O2" s="16" t="str">
        <f aca="false">Timeline!O$13</f>
        <v>2028Q2</v>
      </c>
      <c r="P2" s="16" t="str">
        <f aca="false">Timeline!P$13</f>
        <v>2028Q3</v>
      </c>
      <c r="Q2" s="16" t="str">
        <f aca="false">Timeline!Q$13</f>
        <v>2028Q4</v>
      </c>
      <c r="R2" s="16" t="str">
        <f aca="false">Timeline!R$13</f>
        <v>2029Q1</v>
      </c>
      <c r="S2" s="16" t="str">
        <f aca="false">Timeline!S$13</f>
        <v>2029Q2</v>
      </c>
      <c r="T2" s="16" t="str">
        <f aca="false">Timeline!T$13</f>
        <v>2029Q3</v>
      </c>
      <c r="U2" s="16" t="str">
        <f aca="false">Timeline!U$13</f>
        <v>2029Q4</v>
      </c>
      <c r="V2" s="16" t="str">
        <f aca="false">Timeline!V$13</f>
        <v>2030Q1</v>
      </c>
      <c r="W2" s="16" t="str">
        <f aca="false">Timeline!W$13</f>
        <v>2030Q2</v>
      </c>
      <c r="X2" s="16" t="str">
        <f aca="false">Timeline!X$13</f>
        <v>2030Q3</v>
      </c>
      <c r="Y2" s="16" t="str">
        <f aca="false">Timeline!Y$13</f>
        <v>2030Q4</v>
      </c>
      <c r="Z2" s="16" t="str">
        <f aca="false">Timeline!Z$13</f>
        <v>2031Q1</v>
      </c>
      <c r="AA2" s="16" t="str">
        <f aca="false">Timeline!AA$13</f>
        <v>2031Q2</v>
      </c>
      <c r="AB2" s="16" t="str">
        <f aca="false">Timeline!AB$13</f>
        <v>2031Q3</v>
      </c>
      <c r="AC2" s="16" t="str">
        <f aca="false">Timeline!AC$13</f>
        <v>2031Q4</v>
      </c>
      <c r="AD2" s="16" t="str">
        <f aca="false">Timeline!AD$13</f>
        <v>2032Q1</v>
      </c>
      <c r="AE2" s="16" t="str">
        <f aca="false">Timeline!AE$13</f>
        <v>2032Q2</v>
      </c>
      <c r="AF2" s="16" t="str">
        <f aca="false">Timeline!AF$13</f>
        <v>2032Q3</v>
      </c>
      <c r="AG2" s="16" t="str">
        <f aca="false">Timeline!AG$13</f>
        <v>2032Q4</v>
      </c>
      <c r="AH2" s="16" t="str">
        <f aca="false">Timeline!AH$13</f>
        <v>2033Q1</v>
      </c>
      <c r="AI2" s="16" t="str">
        <f aca="false">Timeline!AI$13</f>
        <v>2033Q2</v>
      </c>
      <c r="AJ2" s="16" t="str">
        <f aca="false">Timeline!AJ$13</f>
        <v>2033Q3</v>
      </c>
      <c r="AK2" s="16" t="str">
        <f aca="false">Timeline!AK$13</f>
        <v>2033Q4</v>
      </c>
      <c r="AL2" s="16" t="str">
        <f aca="false">Timeline!AL$13</f>
        <v>2034Q1</v>
      </c>
      <c r="AM2" s="16" t="str">
        <f aca="false">Timeline!AM$13</f>
        <v>2034Q2</v>
      </c>
      <c r="AN2" s="16" t="str">
        <f aca="false">Timeline!AN$13</f>
        <v>2034Q3</v>
      </c>
      <c r="AO2" s="16" t="str">
        <f aca="false">Timeline!AO$13</f>
        <v>2034Q4</v>
      </c>
    </row>
    <row r="3" customFormat="false" ht="15" hidden="false" customHeight="false" outlineLevel="0" collapsed="false">
      <c r="A3" s="2" t="s">
        <v>179</v>
      </c>
      <c r="B3" s="2" t="s">
        <v>180</v>
      </c>
      <c r="C3" s="2" t="s">
        <v>48</v>
      </c>
      <c r="D3" s="2" t="s">
        <v>65</v>
      </c>
      <c r="E3" s="2" t="s">
        <v>50</v>
      </c>
      <c r="F3" s="17" t="s">
        <v>181</v>
      </c>
      <c r="G3" s="2" t="s">
        <v>182</v>
      </c>
      <c r="H3" s="2" t="s">
        <v>183</v>
      </c>
      <c r="J3" s="18" t="n">
        <f aca="false">ROUND((Driver_Series!J3/marketing_cost_per_customer),0)</f>
        <v>40</v>
      </c>
      <c r="K3" s="18" t="n">
        <f aca="false">ROUND((Driver_Series!K3/marketing_cost_per_customer),0)</f>
        <v>47</v>
      </c>
      <c r="L3" s="18" t="n">
        <f aca="false">ROUND((Driver_Series!L3/marketing_cost_per_customer),0)</f>
        <v>53</v>
      </c>
      <c r="M3" s="18" t="n">
        <f aca="false">ROUND((Driver_Series!M3/marketing_cost_per_customer),0)</f>
        <v>60</v>
      </c>
      <c r="N3" s="18" t="n">
        <f aca="false">ROUND((Driver_Series!N3/marketing_cost_per_customer),0)</f>
        <v>67</v>
      </c>
      <c r="O3" s="18" t="n">
        <f aca="false">ROUND((Driver_Series!O3/marketing_cost_per_customer),0)</f>
        <v>73</v>
      </c>
      <c r="P3" s="18" t="n">
        <f aca="false">ROUND((Driver_Series!P3/marketing_cost_per_customer),0)</f>
        <v>80</v>
      </c>
      <c r="Q3" s="18" t="n">
        <f aca="false">ROUND((Driver_Series!Q3/marketing_cost_per_customer),0)</f>
        <v>87</v>
      </c>
      <c r="R3" s="18" t="n">
        <f aca="false">ROUND((Driver_Series!R3/marketing_cost_per_customer),0)</f>
        <v>93</v>
      </c>
      <c r="S3" s="18" t="n">
        <f aca="false">ROUND((Driver_Series!S3/marketing_cost_per_customer),0)</f>
        <v>100</v>
      </c>
      <c r="T3" s="18" t="n">
        <f aca="false">ROUND((Driver_Series!T3/marketing_cost_per_customer),0)</f>
        <v>107</v>
      </c>
      <c r="U3" s="18" t="n">
        <f aca="false">ROUND((Driver_Series!U3/marketing_cost_per_customer),0)</f>
        <v>113</v>
      </c>
      <c r="V3" s="18" t="n">
        <f aca="false">ROUND((Driver_Series!V3/marketing_cost_per_customer),0)</f>
        <v>120</v>
      </c>
      <c r="W3" s="18" t="n">
        <f aca="false">ROUND((Driver_Series!W3/marketing_cost_per_customer),0)</f>
        <v>127</v>
      </c>
      <c r="X3" s="18" t="n">
        <f aca="false">ROUND((Driver_Series!X3/marketing_cost_per_customer),0)</f>
        <v>133</v>
      </c>
      <c r="Y3" s="18" t="n">
        <f aca="false">ROUND((Driver_Series!Y3/marketing_cost_per_customer),0)</f>
        <v>140</v>
      </c>
      <c r="Z3" s="18" t="n">
        <f aca="false">ROUND((Driver_Series!Z3/marketing_cost_per_customer),0)</f>
        <v>147</v>
      </c>
      <c r="AA3" s="18" t="n">
        <f aca="false">ROUND((Driver_Series!AA3/marketing_cost_per_customer),0)</f>
        <v>151</v>
      </c>
      <c r="AB3" s="18" t="n">
        <f aca="false">ROUND((Driver_Series!AB3/marketing_cost_per_customer),0)</f>
        <v>155</v>
      </c>
      <c r="AC3" s="18" t="n">
        <f aca="false">ROUND((Driver_Series!AC3/marketing_cost_per_customer),0)</f>
        <v>159</v>
      </c>
      <c r="AD3" s="18" t="n">
        <f aca="false">ROUND((Driver_Series!AD3/marketing_cost_per_customer),0)</f>
        <v>163</v>
      </c>
      <c r="AE3" s="18" t="n">
        <f aca="false">ROUND((Driver_Series!AE3/marketing_cost_per_customer),0)</f>
        <v>167</v>
      </c>
      <c r="AF3" s="18" t="n">
        <f aca="false">ROUND((Driver_Series!AF3/marketing_cost_per_customer),0)</f>
        <v>171</v>
      </c>
      <c r="AG3" s="18" t="n">
        <f aca="false">ROUND((Driver_Series!AG3/marketing_cost_per_customer),0)</f>
        <v>175</v>
      </c>
      <c r="AH3" s="18" t="n">
        <f aca="false">ROUND((Driver_Series!AH3/marketing_cost_per_customer),0)</f>
        <v>179</v>
      </c>
      <c r="AI3" s="18" t="n">
        <f aca="false">ROUND((Driver_Series!AI3/marketing_cost_per_customer),0)</f>
        <v>183</v>
      </c>
      <c r="AJ3" s="18" t="n">
        <f aca="false">ROUND((Driver_Series!AJ3/marketing_cost_per_customer),0)</f>
        <v>187</v>
      </c>
      <c r="AK3" s="18" t="n">
        <f aca="false">ROUND((Driver_Series!AK3/marketing_cost_per_customer),0)</f>
        <v>191</v>
      </c>
      <c r="AL3" s="18" t="n">
        <f aca="false">ROUND((Driver_Series!AL3/marketing_cost_per_customer),0)</f>
        <v>195</v>
      </c>
      <c r="AM3" s="18" t="n">
        <f aca="false">ROUND((Driver_Series!AM3/marketing_cost_per_customer),0)</f>
        <v>199</v>
      </c>
      <c r="AN3" s="18" t="n">
        <f aca="false">ROUND((Driver_Series!AN3/marketing_cost_per_customer),0)</f>
        <v>203</v>
      </c>
      <c r="AO3" s="18" t="n">
        <f aca="false">ROUND((Driver_Series!AO3/marketing_cost_per_customer),0)</f>
        <v>207</v>
      </c>
    </row>
    <row r="4" customFormat="false" ht="15" hidden="false" customHeight="false" outlineLevel="0" collapsed="false">
      <c r="A4" s="2" t="s">
        <v>184</v>
      </c>
      <c r="B4" s="2" t="s">
        <v>185</v>
      </c>
      <c r="C4" s="2" t="s">
        <v>48</v>
      </c>
      <c r="D4" s="2" t="s">
        <v>186</v>
      </c>
      <c r="E4" s="2" t="s">
        <v>50</v>
      </c>
      <c r="F4" s="17" t="s">
        <v>187</v>
      </c>
      <c r="G4" s="2" t="s">
        <v>188</v>
      </c>
      <c r="H4" s="2"/>
      <c r="J4" s="19" t="n">
        <f aca="false">(Driver_Series!J4*deals_per_rep_q)</f>
        <v>60</v>
      </c>
      <c r="K4" s="19" t="n">
        <f aca="false">(Driver_Series!K4*deals_per_rep_q)</f>
        <v>60</v>
      </c>
      <c r="L4" s="19" t="n">
        <f aca="false">(Driver_Series!L4*deals_per_rep_q)</f>
        <v>70</v>
      </c>
      <c r="M4" s="19" t="n">
        <f aca="false">(Driver_Series!M4*deals_per_rep_q)</f>
        <v>80</v>
      </c>
      <c r="N4" s="19" t="n">
        <f aca="false">(Driver_Series!N4*deals_per_rep_q)</f>
        <v>90</v>
      </c>
      <c r="O4" s="19" t="n">
        <f aca="false">(Driver_Series!O4*deals_per_rep_q)</f>
        <v>100</v>
      </c>
      <c r="P4" s="19" t="n">
        <f aca="false">(Driver_Series!P4*deals_per_rep_q)</f>
        <v>110</v>
      </c>
      <c r="Q4" s="19" t="n">
        <f aca="false">(Driver_Series!Q4*deals_per_rep_q)</f>
        <v>120</v>
      </c>
      <c r="R4" s="19" t="n">
        <f aca="false">(Driver_Series!R4*deals_per_rep_q)</f>
        <v>130</v>
      </c>
      <c r="S4" s="19" t="n">
        <f aca="false">(Driver_Series!S4*deals_per_rep_q)</f>
        <v>140</v>
      </c>
      <c r="T4" s="19" t="n">
        <f aca="false">(Driver_Series!T4*deals_per_rep_q)</f>
        <v>150</v>
      </c>
      <c r="U4" s="19" t="n">
        <f aca="false">(Driver_Series!U4*deals_per_rep_q)</f>
        <v>160</v>
      </c>
      <c r="V4" s="19" t="n">
        <f aca="false">(Driver_Series!V4*deals_per_rep_q)</f>
        <v>170</v>
      </c>
      <c r="W4" s="19" t="n">
        <f aca="false">(Driver_Series!W4*deals_per_rep_q)</f>
        <v>180</v>
      </c>
      <c r="X4" s="19" t="n">
        <f aca="false">(Driver_Series!X4*deals_per_rep_q)</f>
        <v>190</v>
      </c>
      <c r="Y4" s="19" t="n">
        <f aca="false">(Driver_Series!Y4*deals_per_rep_q)</f>
        <v>200</v>
      </c>
      <c r="Z4" s="19" t="n">
        <f aca="false">(Driver_Series!Z4*deals_per_rep_q)</f>
        <v>210</v>
      </c>
      <c r="AA4" s="19" t="n">
        <f aca="false">(Driver_Series!AA4*deals_per_rep_q)</f>
        <v>210</v>
      </c>
      <c r="AB4" s="19" t="n">
        <f aca="false">(Driver_Series!AB4*deals_per_rep_q)</f>
        <v>220</v>
      </c>
      <c r="AC4" s="19" t="n">
        <f aca="false">(Driver_Series!AC4*deals_per_rep_q)</f>
        <v>220</v>
      </c>
      <c r="AD4" s="19" t="n">
        <f aca="false">(Driver_Series!AD4*deals_per_rep_q)</f>
        <v>230</v>
      </c>
      <c r="AE4" s="19" t="n">
        <f aca="false">(Driver_Series!AE4*deals_per_rep_q)</f>
        <v>230</v>
      </c>
      <c r="AF4" s="19" t="n">
        <f aca="false">(Driver_Series!AF4*deals_per_rep_q)</f>
        <v>240</v>
      </c>
      <c r="AG4" s="19" t="n">
        <f aca="false">(Driver_Series!AG4*deals_per_rep_q)</f>
        <v>240</v>
      </c>
      <c r="AH4" s="19" t="n">
        <f aca="false">(Driver_Series!AH4*deals_per_rep_q)</f>
        <v>250</v>
      </c>
      <c r="AI4" s="19" t="n">
        <f aca="false">(Driver_Series!AI4*deals_per_rep_q)</f>
        <v>250</v>
      </c>
      <c r="AJ4" s="19" t="n">
        <f aca="false">(Driver_Series!AJ4*deals_per_rep_q)</f>
        <v>260</v>
      </c>
      <c r="AK4" s="19" t="n">
        <f aca="false">(Driver_Series!AK4*deals_per_rep_q)</f>
        <v>260</v>
      </c>
      <c r="AL4" s="19" t="n">
        <f aca="false">(Driver_Series!AL4*deals_per_rep_q)</f>
        <v>270</v>
      </c>
      <c r="AM4" s="19" t="n">
        <f aca="false">(Driver_Series!AM4*deals_per_rep_q)</f>
        <v>270</v>
      </c>
      <c r="AN4" s="19" t="n">
        <f aca="false">(Driver_Series!AN4*deals_per_rep_q)</f>
        <v>280</v>
      </c>
      <c r="AO4" s="19" t="n">
        <f aca="false">(Driver_Series!AO4*deals_per_rep_q)</f>
        <v>280</v>
      </c>
    </row>
    <row r="5" customFormat="false" ht="15" hidden="false" customHeight="false" outlineLevel="0" collapsed="false">
      <c r="A5" s="2" t="s">
        <v>189</v>
      </c>
      <c r="B5" s="2" t="s">
        <v>190</v>
      </c>
      <c r="C5" s="2" t="s">
        <v>48</v>
      </c>
      <c r="D5" s="2" t="s">
        <v>186</v>
      </c>
      <c r="E5" s="2" t="s">
        <v>50</v>
      </c>
      <c r="F5" s="17" t="s">
        <v>191</v>
      </c>
      <c r="G5" s="2" t="s">
        <v>192</v>
      </c>
      <c r="H5" s="2" t="s">
        <v>193</v>
      </c>
      <c r="J5" s="19" t="n">
        <f aca="false">MIN(J3,J4)</f>
        <v>40</v>
      </c>
      <c r="K5" s="19" t="n">
        <f aca="false">MIN(K3,K4)</f>
        <v>47</v>
      </c>
      <c r="L5" s="19" t="n">
        <f aca="false">MIN(L3,L4)</f>
        <v>53</v>
      </c>
      <c r="M5" s="19" t="n">
        <f aca="false">MIN(M3,M4)</f>
        <v>60</v>
      </c>
      <c r="N5" s="19" t="n">
        <f aca="false">MIN(N3,N4)</f>
        <v>67</v>
      </c>
      <c r="O5" s="19" t="n">
        <f aca="false">MIN(O3,O4)</f>
        <v>73</v>
      </c>
      <c r="P5" s="19" t="n">
        <f aca="false">MIN(P3,P4)</f>
        <v>80</v>
      </c>
      <c r="Q5" s="19" t="n">
        <f aca="false">MIN(Q3,Q4)</f>
        <v>87</v>
      </c>
      <c r="R5" s="19" t="n">
        <f aca="false">MIN(R3,R4)</f>
        <v>93</v>
      </c>
      <c r="S5" s="19" t="n">
        <f aca="false">MIN(S3,S4)</f>
        <v>100</v>
      </c>
      <c r="T5" s="19" t="n">
        <f aca="false">MIN(T3,T4)</f>
        <v>107</v>
      </c>
      <c r="U5" s="19" t="n">
        <f aca="false">MIN(U3,U4)</f>
        <v>113</v>
      </c>
      <c r="V5" s="19" t="n">
        <f aca="false">MIN(V3,V4)</f>
        <v>120</v>
      </c>
      <c r="W5" s="19" t="n">
        <f aca="false">MIN(W3,W4)</f>
        <v>127</v>
      </c>
      <c r="X5" s="19" t="n">
        <f aca="false">MIN(X3,X4)</f>
        <v>133</v>
      </c>
      <c r="Y5" s="19" t="n">
        <f aca="false">MIN(Y3,Y4)</f>
        <v>140</v>
      </c>
      <c r="Z5" s="19" t="n">
        <f aca="false">MIN(Z3,Z4)</f>
        <v>147</v>
      </c>
      <c r="AA5" s="19" t="n">
        <f aca="false">MIN(AA3,AA4)</f>
        <v>151</v>
      </c>
      <c r="AB5" s="19" t="n">
        <f aca="false">MIN(AB3,AB4)</f>
        <v>155</v>
      </c>
      <c r="AC5" s="19" t="n">
        <f aca="false">MIN(AC3,AC4)</f>
        <v>159</v>
      </c>
      <c r="AD5" s="19" t="n">
        <f aca="false">MIN(AD3,AD4)</f>
        <v>163</v>
      </c>
      <c r="AE5" s="19" t="n">
        <f aca="false">MIN(AE3,AE4)</f>
        <v>167</v>
      </c>
      <c r="AF5" s="19" t="n">
        <f aca="false">MIN(AF3,AF4)</f>
        <v>171</v>
      </c>
      <c r="AG5" s="19" t="n">
        <f aca="false">MIN(AG3,AG4)</f>
        <v>175</v>
      </c>
      <c r="AH5" s="19" t="n">
        <f aca="false">MIN(AH3,AH4)</f>
        <v>179</v>
      </c>
      <c r="AI5" s="19" t="n">
        <f aca="false">MIN(AI3,AI4)</f>
        <v>183</v>
      </c>
      <c r="AJ5" s="19" t="n">
        <f aca="false">MIN(AJ3,AJ4)</f>
        <v>187</v>
      </c>
      <c r="AK5" s="19" t="n">
        <f aca="false">MIN(AK3,AK4)</f>
        <v>191</v>
      </c>
      <c r="AL5" s="19" t="n">
        <f aca="false">MIN(AL3,AL4)</f>
        <v>195</v>
      </c>
      <c r="AM5" s="19" t="n">
        <f aca="false">MIN(AM3,AM4)</f>
        <v>199</v>
      </c>
      <c r="AN5" s="19" t="n">
        <f aca="false">MIN(AN3,AN4)</f>
        <v>203</v>
      </c>
      <c r="AO5" s="19" t="n">
        <f aca="false">MIN(AO3,AO4)</f>
        <v>207</v>
      </c>
    </row>
    <row r="6" customFormat="false" ht="15" hidden="false" customHeight="false" outlineLevel="0" collapsed="false">
      <c r="A6" s="2" t="s">
        <v>194</v>
      </c>
      <c r="B6" s="2" t="s">
        <v>195</v>
      </c>
      <c r="C6" s="2" t="s">
        <v>48</v>
      </c>
      <c r="D6" s="2" t="s">
        <v>196</v>
      </c>
      <c r="E6" s="2" t="s">
        <v>75</v>
      </c>
      <c r="F6" s="17" t="s">
        <v>197</v>
      </c>
      <c r="G6" s="2" t="s">
        <v>198</v>
      </c>
      <c r="H6" s="2" t="s">
        <v>199</v>
      </c>
      <c r="J6" s="20" t="n">
        <f aca="false">((1-churn_rate_q))*(1+(0-churn_rate_q))^(Timeline!J$9-1)</f>
        <v>0.96</v>
      </c>
      <c r="K6" s="20" t="n">
        <f aca="false">((1-churn_rate_q))*(1+(0-churn_rate_q))^(Timeline!K$9-1)</f>
        <v>0.9216</v>
      </c>
      <c r="L6" s="20" t="n">
        <f aca="false">((1-churn_rate_q))*(1+(0-churn_rate_q))^(Timeline!L$9-1)</f>
        <v>0.884736</v>
      </c>
      <c r="M6" s="20" t="n">
        <f aca="false">((1-churn_rate_q))*(1+(0-churn_rate_q))^(Timeline!M$9-1)</f>
        <v>0.84934656</v>
      </c>
      <c r="N6" s="20" t="n">
        <f aca="false">((1-churn_rate_q))*(1+(0-churn_rate_q))^(Timeline!N$9-1)</f>
        <v>0.8153726976</v>
      </c>
      <c r="O6" s="20" t="n">
        <f aca="false">((1-churn_rate_q))*(1+(0-churn_rate_q))^(Timeline!O$9-1)</f>
        <v>0.782757789696</v>
      </c>
      <c r="P6" s="20" t="n">
        <f aca="false">((1-churn_rate_q))*(1+(0-churn_rate_q))^(Timeline!P$9-1)</f>
        <v>0.75144747810816</v>
      </c>
      <c r="Q6" s="20" t="n">
        <f aca="false">((1-churn_rate_q))*(1+(0-churn_rate_q))^(Timeline!Q$9-1)</f>
        <v>0.721389578983833</v>
      </c>
      <c r="R6" s="20" t="n">
        <f aca="false">((1-churn_rate_q))*(1+(0-churn_rate_q))^(Timeline!R$9-1)</f>
        <v>0.69253399582448</v>
      </c>
      <c r="S6" s="20" t="n">
        <f aca="false">((1-churn_rate_q))*(1+(0-churn_rate_q))^(Timeline!S$9-1)</f>
        <v>0.664832635991501</v>
      </c>
      <c r="T6" s="20" t="n">
        <f aca="false">((1-churn_rate_q))*(1+(0-churn_rate_q))^(Timeline!T$9-1)</f>
        <v>0.638239330551841</v>
      </c>
      <c r="U6" s="20" t="n">
        <f aca="false">((1-churn_rate_q))*(1+(0-churn_rate_q))^(Timeline!U$9-1)</f>
        <v>0.612709757329767</v>
      </c>
      <c r="V6" s="20" t="n">
        <f aca="false">((1-churn_rate_q))*(1+(0-churn_rate_q))^(Timeline!V$9-1)</f>
        <v>0.588201367036576</v>
      </c>
      <c r="W6" s="20" t="n">
        <f aca="false">((1-churn_rate_q))*(1+(0-churn_rate_q))^(Timeline!W$9-1)</f>
        <v>0.564673312355113</v>
      </c>
      <c r="X6" s="20" t="n">
        <f aca="false">((1-churn_rate_q))*(1+(0-churn_rate_q))^(Timeline!X$9-1)</f>
        <v>0.542086379860909</v>
      </c>
      <c r="Y6" s="20" t="n">
        <f aca="false">((1-churn_rate_q))*(1+(0-churn_rate_q))^(Timeline!Y$9-1)</f>
        <v>0.520402924666472</v>
      </c>
      <c r="Z6" s="20" t="n">
        <f aca="false">((1-churn_rate_q))*(1+(0-churn_rate_q))^(Timeline!Z$9-1)</f>
        <v>0.499586807679814</v>
      </c>
      <c r="AA6" s="20" t="n">
        <f aca="false">((1-churn_rate_q))*(1+(0-churn_rate_q))^(Timeline!AA$9-1)</f>
        <v>0.479603335372621</v>
      </c>
      <c r="AB6" s="20" t="n">
        <f aca="false">((1-churn_rate_q))*(1+(0-churn_rate_q))^(Timeline!AB$9-1)</f>
        <v>0.460419201957716</v>
      </c>
      <c r="AC6" s="20" t="n">
        <f aca="false">((1-churn_rate_q))*(1+(0-churn_rate_q))^(Timeline!AC$9-1)</f>
        <v>0.442002433879407</v>
      </c>
      <c r="AD6" s="20" t="n">
        <f aca="false">((1-churn_rate_q))*(1+(0-churn_rate_q))^(Timeline!AD$9-1)</f>
        <v>0.424322336524231</v>
      </c>
      <c r="AE6" s="20" t="n">
        <f aca="false">((1-churn_rate_q))*(1+(0-churn_rate_q))^(Timeline!AE$9-1)</f>
        <v>0.407349443063262</v>
      </c>
      <c r="AF6" s="20" t="n">
        <f aca="false">((1-churn_rate_q))*(1+(0-churn_rate_q))^(Timeline!AF$9-1)</f>
        <v>0.391055465340731</v>
      </c>
      <c r="AG6" s="20" t="n">
        <f aca="false">((1-churn_rate_q))*(1+(0-churn_rate_q))^(Timeline!AG$9-1)</f>
        <v>0.375413246727102</v>
      </c>
      <c r="AH6" s="20" t="n">
        <f aca="false">((1-churn_rate_q))*(1+(0-churn_rate_q))^(Timeline!AH$9-1)</f>
        <v>0.360396716858018</v>
      </c>
      <c r="AI6" s="20" t="n">
        <f aca="false">((1-churn_rate_q))*(1+(0-churn_rate_q))^(Timeline!AI$9-1)</f>
        <v>0.345980848183697</v>
      </c>
      <c r="AJ6" s="20" t="n">
        <f aca="false">((1-churn_rate_q))*(1+(0-churn_rate_q))^(Timeline!AJ$9-1)</f>
        <v>0.332141614256349</v>
      </c>
      <c r="AK6" s="20" t="n">
        <f aca="false">((1-churn_rate_q))*(1+(0-churn_rate_q))^(Timeline!AK$9-1)</f>
        <v>0.318855949686095</v>
      </c>
      <c r="AL6" s="20" t="n">
        <f aca="false">((1-churn_rate_q))*(1+(0-churn_rate_q))^(Timeline!AL$9-1)</f>
        <v>0.306101711698652</v>
      </c>
      <c r="AM6" s="20" t="n">
        <f aca="false">((1-churn_rate_q))*(1+(0-churn_rate_q))^(Timeline!AM$9-1)</f>
        <v>0.293857643230705</v>
      </c>
      <c r="AN6" s="20" t="n">
        <f aca="false">((1-churn_rate_q))*(1+(0-churn_rate_q))^(Timeline!AN$9-1)</f>
        <v>0.282103337501477</v>
      </c>
      <c r="AO6" s="20" t="n">
        <f aca="false">((1-churn_rate_q))*(1+(0-churn_rate_q))^(Timeline!AO$9-1)</f>
        <v>0.270819204001418</v>
      </c>
    </row>
    <row r="7" customFormat="false" ht="15" hidden="false" customHeight="false" outlineLevel="0" collapsed="false">
      <c r="A7" s="2" t="s">
        <v>200</v>
      </c>
      <c r="B7" s="2" t="s">
        <v>201</v>
      </c>
      <c r="C7" s="2" t="s">
        <v>48</v>
      </c>
      <c r="D7" s="2" t="s">
        <v>186</v>
      </c>
      <c r="E7" s="2" t="s">
        <v>50</v>
      </c>
      <c r="F7" s="17" t="s">
        <v>202</v>
      </c>
      <c r="G7" s="2" t="s">
        <v>203</v>
      </c>
      <c r="H7" s="2" t="s">
        <v>204</v>
      </c>
      <c r="J7" s="19" t="n">
        <f aca="false">(J5/J6)</f>
        <v>41.6666666666667</v>
      </c>
      <c r="K7" s="19" t="n">
        <f aca="false">(K5/K6)</f>
        <v>50.9982638888889</v>
      </c>
      <c r="L7" s="19" t="n">
        <f aca="false">(L5/L6)</f>
        <v>59.9048755787037</v>
      </c>
      <c r="M7" s="19" t="n">
        <f aca="false">(M5/M6)</f>
        <v>70.6425419560185</v>
      </c>
      <c r="N7" s="19" t="n">
        <f aca="false">(N5/N6)</f>
        <v>82.1710123446743</v>
      </c>
      <c r="O7" s="19" t="n">
        <f aca="false">(O5/O6)</f>
        <v>93.2600109011385</v>
      </c>
      <c r="P7" s="19" t="n">
        <f aca="false">(P5/P6)</f>
        <v>106.461199658834</v>
      </c>
      <c r="Q7" s="19" t="n">
        <f aca="false">(Q5/Q6)</f>
        <v>120.600577738523</v>
      </c>
      <c r="R7" s="19" t="n">
        <f aca="false">(R5/R6)</f>
        <v>134.289436418614</v>
      </c>
      <c r="S7" s="19" t="n">
        <f aca="false">(S5/S6)</f>
        <v>150.413795271745</v>
      </c>
      <c r="T7" s="19" t="n">
        <f aca="false">(T5/T6)</f>
        <v>167.648709313299</v>
      </c>
      <c r="U7" s="19" t="n">
        <f aca="false">(U5/U6)</f>
        <v>184.42663699769</v>
      </c>
      <c r="V7" s="19" t="n">
        <f aca="false">(V5/V6)</f>
        <v>204.011766590366</v>
      </c>
      <c r="W7" s="19" t="n">
        <f aca="false">(W5/W6)</f>
        <v>224.908805182087</v>
      </c>
      <c r="X7" s="19" t="n">
        <f aca="false">(X5/X6)</f>
        <v>245.348352109724</v>
      </c>
      <c r="Y7" s="19" t="n">
        <f aca="false">(Y5/Y6)</f>
        <v>269.022315909785</v>
      </c>
      <c r="Z7" s="19" t="n">
        <f aca="false">(Z5/Z6)</f>
        <v>294.243158026328</v>
      </c>
      <c r="AA7" s="19" t="n">
        <f aca="false">(AA5/AA6)</f>
        <v>314.843515178398</v>
      </c>
      <c r="AB7" s="19" t="n">
        <f aca="false">(AB5/AB6)</f>
        <v>336.649729943789</v>
      </c>
      <c r="AC7" s="19" t="n">
        <f aca="false">(AC5/AC6)</f>
        <v>359.726525948</v>
      </c>
      <c r="AD7" s="19" t="n">
        <f aca="false">(AD5/AD6)</f>
        <v>384.141926949188</v>
      </c>
      <c r="AE7" s="19" t="n">
        <f aca="false">(AE5/AE6)</f>
        <v>409.967419481815</v>
      </c>
      <c r="AF7" s="19" t="n">
        <f aca="false">(AF5/AF6)</f>
        <v>437.278123324541</v>
      </c>
      <c r="AG7" s="19" t="n">
        <f aca="false">(AG5/AG6)</f>
        <v>466.152970162004</v>
      </c>
      <c r="AH7" s="19" t="n">
        <f aca="false">(AH5/AH6)</f>
        <v>496.674890827374</v>
      </c>
      <c r="AI7" s="19" t="n">
        <f aca="false">(AI5/AI6)</f>
        <v>528.931011530548</v>
      </c>
      <c r="AJ7" s="19" t="n">
        <f aca="false">(AJ5/AJ6)</f>
        <v>563.012859495745</v>
      </c>
      <c r="AK7" s="19" t="n">
        <f aca="false">(AK5/AK6)</f>
        <v>599.016578451912</v>
      </c>
      <c r="AL7" s="19" t="n">
        <f aca="false">(AL5/AL6)</f>
        <v>637.043154440025</v>
      </c>
      <c r="AM7" s="19" t="n">
        <f aca="false">(AM5/AM6)</f>
        <v>677.19865242289</v>
      </c>
      <c r="AN7" s="19" t="n">
        <f aca="false">(AN5/AN6)</f>
        <v>719.594464205646</v>
      </c>
      <c r="AO7" s="19" t="n">
        <f aca="false">(AO5/AO6)</f>
        <v>764.347568198731</v>
      </c>
    </row>
    <row r="8" customFormat="false" ht="15" hidden="false" customHeight="false" outlineLevel="0" collapsed="false">
      <c r="A8" s="2" t="s">
        <v>205</v>
      </c>
      <c r="B8" s="2" t="s">
        <v>206</v>
      </c>
      <c r="C8" s="2" t="s">
        <v>48</v>
      </c>
      <c r="D8" s="2" t="s">
        <v>186</v>
      </c>
      <c r="E8" s="2" t="s">
        <v>50</v>
      </c>
      <c r="F8" s="17" t="s">
        <v>207</v>
      </c>
      <c r="G8" s="2" t="s">
        <v>208</v>
      </c>
      <c r="H8" s="2" t="s">
        <v>209</v>
      </c>
      <c r="J8" s="19" t="n">
        <f aca="false">(J6*(opening_customers+SUM($J7:J7)))</f>
        <v>424</v>
      </c>
      <c r="K8" s="19" t="n">
        <f aca="false">(K6*(opening_customers+SUM($J7:K7)))</f>
        <v>454.04</v>
      </c>
      <c r="L8" s="19" t="n">
        <f aca="false">(L6*(opening_customers+SUM($J7:L7)))</f>
        <v>488.8784</v>
      </c>
      <c r="M8" s="19" t="n">
        <f aca="false">(M6*(opening_customers+SUM($J7:M7)))</f>
        <v>529.323264</v>
      </c>
      <c r="N8" s="19" t="n">
        <f aca="false">(N6*(opening_customers+SUM($J7:N7)))</f>
        <v>575.15033344</v>
      </c>
      <c r="O8" s="19" t="n">
        <f aca="false">(O6*(opening_customers+SUM($J7:O7)))</f>
        <v>625.1443201024</v>
      </c>
      <c r="P8" s="19" t="n">
        <f aca="false">(P6*(opening_customers+SUM($J7:P7)))</f>
        <v>680.138547298304</v>
      </c>
      <c r="Q8" s="19" t="n">
        <f aca="false">(Q6*(opening_customers+SUM($J7:Q7)))</f>
        <v>739.933005406372</v>
      </c>
      <c r="R8" s="19" t="n">
        <f aca="false">(R6*(opening_customers+SUM($J7:R7)))</f>
        <v>803.335685190117</v>
      </c>
      <c r="S8" s="19" t="n">
        <f aca="false">(S6*(opening_customers+SUM($J7:S7)))</f>
        <v>871.202257782512</v>
      </c>
      <c r="T8" s="19" t="n">
        <f aca="false">(T6*(opening_customers+SUM($J7:T7)))</f>
        <v>943.354167471212</v>
      </c>
      <c r="U8" s="19" t="n">
        <f aca="false">(U6*(opening_customers+SUM($J7:U7)))</f>
        <v>1018.62000077236</v>
      </c>
      <c r="V8" s="19" t="n">
        <f aca="false">(V6*(opening_customers+SUM($J7:V7)))</f>
        <v>1097.87520074147</v>
      </c>
      <c r="W8" s="19" t="n">
        <f aca="false">(W6*(opening_customers+SUM($J7:W7)))</f>
        <v>1180.96019271181</v>
      </c>
      <c r="X8" s="19" t="n">
        <f aca="false">(X6*(opening_customers+SUM($J7:X7)))</f>
        <v>1266.72178500334</v>
      </c>
      <c r="Y8" s="19" t="n">
        <f aca="false">(Y6*(opening_customers+SUM($J7:Y7)))</f>
        <v>1356.0529136032</v>
      </c>
      <c r="Z8" s="19" t="n">
        <f aca="false">(Z6*(opening_customers+SUM($J7:Z7)))</f>
        <v>1448.81079705908</v>
      </c>
      <c r="AA8" s="19" t="n">
        <f aca="false">(AA6*(opening_customers+SUM($J7:AA7)))</f>
        <v>1541.85836517671</v>
      </c>
      <c r="AB8" s="19" t="n">
        <f aca="false">(AB6*(opening_customers+SUM($J7:AB7)))</f>
        <v>1635.18403056964</v>
      </c>
      <c r="AC8" s="19" t="n">
        <f aca="false">(AC6*(opening_customers+SUM($J7:AC7)))</f>
        <v>1728.77666934686</v>
      </c>
      <c r="AD8" s="19" t="n">
        <f aca="false">(AD6*(opening_customers+SUM($J7:AD7)))</f>
        <v>1822.62560257298</v>
      </c>
      <c r="AE8" s="19" t="n">
        <f aca="false">(AE6*(opening_customers+SUM($J7:AE7)))</f>
        <v>1916.72057847006</v>
      </c>
      <c r="AF8" s="19" t="n">
        <f aca="false">(AF6*(opening_customers+SUM($J7:AF7)))</f>
        <v>2011.05175533126</v>
      </c>
      <c r="AG8" s="19" t="n">
        <f aca="false">(AG6*(opening_customers+SUM($J7:AG7)))</f>
        <v>2105.60968511801</v>
      </c>
      <c r="AH8" s="19" t="n">
        <f aca="false">(AH6*(opening_customers+SUM($J7:AH7)))</f>
        <v>2200.38529771329</v>
      </c>
      <c r="AI8" s="19" t="n">
        <f aca="false">(AI6*(opening_customers+SUM($J7:AI7)))</f>
        <v>2295.36988580476</v>
      </c>
      <c r="AJ8" s="19" t="n">
        <f aca="false">(AJ6*(opening_customers+SUM($J7:AJ7)))</f>
        <v>2390.55509037257</v>
      </c>
      <c r="AK8" s="19" t="n">
        <f aca="false">(AK6*(opening_customers+SUM($J7:AK7)))</f>
        <v>2485.93288675767</v>
      </c>
      <c r="AL8" s="19" t="n">
        <f aca="false">(AL6*(opening_customers+SUM($J7:AL7)))</f>
        <v>2581.49557128736</v>
      </c>
      <c r="AM8" s="19" t="n">
        <f aca="false">(AM6*(opening_customers+SUM($J7:AM7)))</f>
        <v>2677.23574843586</v>
      </c>
      <c r="AN8" s="19" t="n">
        <f aca="false">(AN6*(opening_customers+SUM($J7:AN7)))</f>
        <v>2773.14631849843</v>
      </c>
      <c r="AO8" s="19" t="n">
        <f aca="false">(AO6*(opening_customers+SUM($J7:AO7)))</f>
        <v>2869.22046575849</v>
      </c>
    </row>
    <row r="9" customFormat="false" ht="15" hidden="false" customHeight="false" outlineLevel="0" collapsed="false">
      <c r="A9" s="2" t="s">
        <v>210</v>
      </c>
      <c r="B9" s="2" t="s">
        <v>211</v>
      </c>
      <c r="C9" s="2" t="s">
        <v>48</v>
      </c>
      <c r="D9" s="2" t="s">
        <v>186</v>
      </c>
      <c r="E9" s="2" t="s">
        <v>50</v>
      </c>
      <c r="F9" s="17" t="s">
        <v>212</v>
      </c>
      <c r="G9" s="2" t="s">
        <v>213</v>
      </c>
      <c r="H9" s="2"/>
      <c r="J9" s="19" t="n">
        <f aca="false">IF(AND(Timeline!J$9&gt;=1,Timeline!J$9&lt;=1),opening_customers,IF(Timeline!J$9&gt;1,INDEX($J8:$AO8,1,Timeline!J$9-1),0))</f>
        <v>400</v>
      </c>
      <c r="K9" s="19" t="n">
        <f aca="false">IF(AND(Timeline!K$9&gt;=1,Timeline!K$9&lt;=1),opening_customers,IF(Timeline!K$9&gt;1,INDEX($J8:$AO8,1,Timeline!K$9-1),0))</f>
        <v>424</v>
      </c>
      <c r="L9" s="19" t="n">
        <f aca="false">IF(AND(Timeline!L$9&gt;=1,Timeline!L$9&lt;=1),opening_customers,IF(Timeline!L$9&gt;1,INDEX($J8:$AO8,1,Timeline!L$9-1),0))</f>
        <v>454.04</v>
      </c>
      <c r="M9" s="19" t="n">
        <f aca="false">IF(AND(Timeline!M$9&gt;=1,Timeline!M$9&lt;=1),opening_customers,IF(Timeline!M$9&gt;1,INDEX($J8:$AO8,1,Timeline!M$9-1),0))</f>
        <v>488.8784</v>
      </c>
      <c r="N9" s="19" t="n">
        <f aca="false">IF(AND(Timeline!N$9&gt;=1,Timeline!N$9&lt;=1),opening_customers,IF(Timeline!N$9&gt;1,INDEX($J8:$AO8,1,Timeline!N$9-1),0))</f>
        <v>529.323264</v>
      </c>
      <c r="O9" s="19" t="n">
        <f aca="false">IF(AND(Timeline!O$9&gt;=1,Timeline!O$9&lt;=1),opening_customers,IF(Timeline!O$9&gt;1,INDEX($J8:$AO8,1,Timeline!O$9-1),0))</f>
        <v>575.15033344</v>
      </c>
      <c r="P9" s="19" t="n">
        <f aca="false">IF(AND(Timeline!P$9&gt;=1,Timeline!P$9&lt;=1),opening_customers,IF(Timeline!P$9&gt;1,INDEX($J8:$AO8,1,Timeline!P$9-1),0))</f>
        <v>625.1443201024</v>
      </c>
      <c r="Q9" s="19" t="n">
        <f aca="false">IF(AND(Timeline!Q$9&gt;=1,Timeline!Q$9&lt;=1),opening_customers,IF(Timeline!Q$9&gt;1,INDEX($J8:$AO8,1,Timeline!Q$9-1),0))</f>
        <v>680.138547298304</v>
      </c>
      <c r="R9" s="19" t="n">
        <f aca="false">IF(AND(Timeline!R$9&gt;=1,Timeline!R$9&lt;=1),opening_customers,IF(Timeline!R$9&gt;1,INDEX($J8:$AO8,1,Timeline!R$9-1),0))</f>
        <v>739.933005406372</v>
      </c>
      <c r="S9" s="19" t="n">
        <f aca="false">IF(AND(Timeline!S$9&gt;=1,Timeline!S$9&lt;=1),opening_customers,IF(Timeline!S$9&gt;1,INDEX($J8:$AO8,1,Timeline!S$9-1),0))</f>
        <v>803.335685190117</v>
      </c>
      <c r="T9" s="19" t="n">
        <f aca="false">IF(AND(Timeline!T$9&gt;=1,Timeline!T$9&lt;=1),opening_customers,IF(Timeline!T$9&gt;1,INDEX($J8:$AO8,1,Timeline!T$9-1),0))</f>
        <v>871.202257782512</v>
      </c>
      <c r="U9" s="19" t="n">
        <f aca="false">IF(AND(Timeline!U$9&gt;=1,Timeline!U$9&lt;=1),opening_customers,IF(Timeline!U$9&gt;1,INDEX($J8:$AO8,1,Timeline!U$9-1),0))</f>
        <v>943.354167471212</v>
      </c>
      <c r="V9" s="19" t="n">
        <f aca="false">IF(AND(Timeline!V$9&gt;=1,Timeline!V$9&lt;=1),opening_customers,IF(Timeline!V$9&gt;1,INDEX($J8:$AO8,1,Timeline!V$9-1),0))</f>
        <v>1018.62000077236</v>
      </c>
      <c r="W9" s="19" t="n">
        <f aca="false">IF(AND(Timeline!W$9&gt;=1,Timeline!W$9&lt;=1),opening_customers,IF(Timeline!W$9&gt;1,INDEX($J8:$AO8,1,Timeline!W$9-1),0))</f>
        <v>1097.87520074147</v>
      </c>
      <c r="X9" s="19" t="n">
        <f aca="false">IF(AND(Timeline!X$9&gt;=1,Timeline!X$9&lt;=1),opening_customers,IF(Timeline!X$9&gt;1,INDEX($J8:$AO8,1,Timeline!X$9-1),0))</f>
        <v>1180.96019271181</v>
      </c>
      <c r="Y9" s="19" t="n">
        <f aca="false">IF(AND(Timeline!Y$9&gt;=1,Timeline!Y$9&lt;=1),opening_customers,IF(Timeline!Y$9&gt;1,INDEX($J8:$AO8,1,Timeline!Y$9-1),0))</f>
        <v>1266.72178500334</v>
      </c>
      <c r="Z9" s="19" t="n">
        <f aca="false">IF(AND(Timeline!Z$9&gt;=1,Timeline!Z$9&lt;=1),opening_customers,IF(Timeline!Z$9&gt;1,INDEX($J8:$AO8,1,Timeline!Z$9-1),0))</f>
        <v>1356.0529136032</v>
      </c>
      <c r="AA9" s="19" t="n">
        <f aca="false">IF(AND(Timeline!AA$9&gt;=1,Timeline!AA$9&lt;=1),opening_customers,IF(Timeline!AA$9&gt;1,INDEX($J8:$AO8,1,Timeline!AA$9-1),0))</f>
        <v>1448.81079705908</v>
      </c>
      <c r="AB9" s="19" t="n">
        <f aca="false">IF(AND(Timeline!AB$9&gt;=1,Timeline!AB$9&lt;=1),opening_customers,IF(Timeline!AB$9&gt;1,INDEX($J8:$AO8,1,Timeline!AB$9-1),0))</f>
        <v>1541.85836517671</v>
      </c>
      <c r="AC9" s="19" t="n">
        <f aca="false">IF(AND(Timeline!AC$9&gt;=1,Timeline!AC$9&lt;=1),opening_customers,IF(Timeline!AC$9&gt;1,INDEX($J8:$AO8,1,Timeline!AC$9-1),0))</f>
        <v>1635.18403056964</v>
      </c>
      <c r="AD9" s="19" t="n">
        <f aca="false">IF(AND(Timeline!AD$9&gt;=1,Timeline!AD$9&lt;=1),opening_customers,IF(Timeline!AD$9&gt;1,INDEX($J8:$AO8,1,Timeline!AD$9-1),0))</f>
        <v>1728.77666934686</v>
      </c>
      <c r="AE9" s="19" t="n">
        <f aca="false">IF(AND(Timeline!AE$9&gt;=1,Timeline!AE$9&lt;=1),opening_customers,IF(Timeline!AE$9&gt;1,INDEX($J8:$AO8,1,Timeline!AE$9-1),0))</f>
        <v>1822.62560257298</v>
      </c>
      <c r="AF9" s="19" t="n">
        <f aca="false">IF(AND(Timeline!AF$9&gt;=1,Timeline!AF$9&lt;=1),opening_customers,IF(Timeline!AF$9&gt;1,INDEX($J8:$AO8,1,Timeline!AF$9-1),0))</f>
        <v>1916.72057847006</v>
      </c>
      <c r="AG9" s="19" t="n">
        <f aca="false">IF(AND(Timeline!AG$9&gt;=1,Timeline!AG$9&lt;=1),opening_customers,IF(Timeline!AG$9&gt;1,INDEX($J8:$AO8,1,Timeline!AG$9-1),0))</f>
        <v>2011.05175533126</v>
      </c>
      <c r="AH9" s="19" t="n">
        <f aca="false">IF(AND(Timeline!AH$9&gt;=1,Timeline!AH$9&lt;=1),opening_customers,IF(Timeline!AH$9&gt;1,INDEX($J8:$AO8,1,Timeline!AH$9-1),0))</f>
        <v>2105.60968511801</v>
      </c>
      <c r="AI9" s="19" t="n">
        <f aca="false">IF(AND(Timeline!AI$9&gt;=1,Timeline!AI$9&lt;=1),opening_customers,IF(Timeline!AI$9&gt;1,INDEX($J8:$AO8,1,Timeline!AI$9-1),0))</f>
        <v>2200.38529771329</v>
      </c>
      <c r="AJ9" s="19" t="n">
        <f aca="false">IF(AND(Timeline!AJ$9&gt;=1,Timeline!AJ$9&lt;=1),opening_customers,IF(Timeline!AJ$9&gt;1,INDEX($J8:$AO8,1,Timeline!AJ$9-1),0))</f>
        <v>2295.36988580476</v>
      </c>
      <c r="AK9" s="19" t="n">
        <f aca="false">IF(AND(Timeline!AK$9&gt;=1,Timeline!AK$9&lt;=1),opening_customers,IF(Timeline!AK$9&gt;1,INDEX($J8:$AO8,1,Timeline!AK$9-1),0))</f>
        <v>2390.55509037257</v>
      </c>
      <c r="AL9" s="19" t="n">
        <f aca="false">IF(AND(Timeline!AL$9&gt;=1,Timeline!AL$9&lt;=1),opening_customers,IF(Timeline!AL$9&gt;1,INDEX($J8:$AO8,1,Timeline!AL$9-1),0))</f>
        <v>2485.93288675767</v>
      </c>
      <c r="AM9" s="19" t="n">
        <f aca="false">IF(AND(Timeline!AM$9&gt;=1,Timeline!AM$9&lt;=1),opening_customers,IF(Timeline!AM$9&gt;1,INDEX($J8:$AO8,1,Timeline!AM$9-1),0))</f>
        <v>2581.49557128736</v>
      </c>
      <c r="AN9" s="19" t="n">
        <f aca="false">IF(AND(Timeline!AN$9&gt;=1,Timeline!AN$9&lt;=1),opening_customers,IF(Timeline!AN$9&gt;1,INDEX($J8:$AO8,1,Timeline!AN$9-1),0))</f>
        <v>2677.23574843586</v>
      </c>
      <c r="AO9" s="19" t="n">
        <f aca="false">IF(AND(Timeline!AO$9&gt;=1,Timeline!AO$9&lt;=1),opening_customers,IF(Timeline!AO$9&gt;1,INDEX($J8:$AO8,1,Timeline!AO$9-1),0))</f>
        <v>2773.14631849843</v>
      </c>
    </row>
    <row r="10" customFormat="false" ht="15" hidden="false" customHeight="false" outlineLevel="0" collapsed="false">
      <c r="A10" s="2" t="s">
        <v>214</v>
      </c>
      <c r="B10" s="2" t="s">
        <v>215</v>
      </c>
      <c r="C10" s="2" t="s">
        <v>48</v>
      </c>
      <c r="D10" s="2" t="s">
        <v>186</v>
      </c>
      <c r="E10" s="2" t="s">
        <v>50</v>
      </c>
      <c r="F10" s="17" t="s">
        <v>216</v>
      </c>
      <c r="G10" s="2" t="s">
        <v>217</v>
      </c>
      <c r="H10" s="2"/>
      <c r="J10" s="19" t="n">
        <f aca="false">(J9*churn_rate_q)</f>
        <v>16</v>
      </c>
      <c r="K10" s="19" t="n">
        <f aca="false">(K9*churn_rate_q)</f>
        <v>16.96</v>
      </c>
      <c r="L10" s="19" t="n">
        <f aca="false">(L9*churn_rate_q)</f>
        <v>18.1616</v>
      </c>
      <c r="M10" s="19" t="n">
        <f aca="false">(M9*churn_rate_q)</f>
        <v>19.555136</v>
      </c>
      <c r="N10" s="19" t="n">
        <f aca="false">(N9*churn_rate_q)</f>
        <v>21.17293056</v>
      </c>
      <c r="O10" s="19" t="n">
        <f aca="false">(O9*churn_rate_q)</f>
        <v>23.0060133376</v>
      </c>
      <c r="P10" s="19" t="n">
        <f aca="false">(P9*churn_rate_q)</f>
        <v>25.005772804096</v>
      </c>
      <c r="Q10" s="19" t="n">
        <f aca="false">(Q9*churn_rate_q)</f>
        <v>27.2055418919322</v>
      </c>
      <c r="R10" s="19" t="n">
        <f aca="false">(R9*churn_rate_q)</f>
        <v>29.5973202162549</v>
      </c>
      <c r="S10" s="19" t="n">
        <f aca="false">(S9*churn_rate_q)</f>
        <v>32.1334274076047</v>
      </c>
      <c r="T10" s="19" t="n">
        <f aca="false">(T9*churn_rate_q)</f>
        <v>34.8480903113005</v>
      </c>
      <c r="U10" s="19" t="n">
        <f aca="false">(U9*churn_rate_q)</f>
        <v>37.7341666988485</v>
      </c>
      <c r="V10" s="19" t="n">
        <f aca="false">(V9*churn_rate_q)</f>
        <v>40.7448000308945</v>
      </c>
      <c r="W10" s="19" t="n">
        <f aca="false">(W9*churn_rate_q)</f>
        <v>43.9150080296587</v>
      </c>
      <c r="X10" s="19" t="n">
        <f aca="false">(X9*churn_rate_q)</f>
        <v>47.2384077084724</v>
      </c>
      <c r="Y10" s="19" t="n">
        <f aca="false">(Y9*churn_rate_q)</f>
        <v>50.6688714001335</v>
      </c>
      <c r="Z10" s="19" t="n">
        <f aca="false">(Z9*churn_rate_q)</f>
        <v>54.2421165441282</v>
      </c>
      <c r="AA10" s="19" t="n">
        <f aca="false">(AA9*churn_rate_q)</f>
        <v>57.952431882363</v>
      </c>
      <c r="AB10" s="19" t="n">
        <f aca="false">(AB9*churn_rate_q)</f>
        <v>61.6743346070685</v>
      </c>
      <c r="AC10" s="19" t="n">
        <f aca="false">(AC9*churn_rate_q)</f>
        <v>65.4073612227858</v>
      </c>
      <c r="AD10" s="19" t="n">
        <f aca="false">(AD9*churn_rate_q)</f>
        <v>69.1510667738743</v>
      </c>
      <c r="AE10" s="19" t="n">
        <f aca="false">(AE9*churn_rate_q)</f>
        <v>72.9050241029193</v>
      </c>
      <c r="AF10" s="19" t="n">
        <f aca="false">(AF9*churn_rate_q)</f>
        <v>76.6688231388026</v>
      </c>
      <c r="AG10" s="19" t="n">
        <f aca="false">(AG9*churn_rate_q)</f>
        <v>80.4420702132505</v>
      </c>
      <c r="AH10" s="19" t="n">
        <f aca="false">(AH9*churn_rate_q)</f>
        <v>84.2243874047205</v>
      </c>
      <c r="AI10" s="19" t="n">
        <f aca="false">(AI9*churn_rate_q)</f>
        <v>88.0154119085316</v>
      </c>
      <c r="AJ10" s="19" t="n">
        <f aca="false">(AJ9*churn_rate_q)</f>
        <v>91.8147954321904</v>
      </c>
      <c r="AK10" s="19" t="n">
        <f aca="false">(AK9*churn_rate_q)</f>
        <v>95.6222036149027</v>
      </c>
      <c r="AL10" s="19" t="n">
        <f aca="false">(AL9*churn_rate_q)</f>
        <v>99.4373154703066</v>
      </c>
      <c r="AM10" s="19" t="n">
        <f aca="false">(AM9*churn_rate_q)</f>
        <v>103.259822851494</v>
      </c>
      <c r="AN10" s="19" t="n">
        <f aca="false">(AN9*churn_rate_q)</f>
        <v>107.089429937435</v>
      </c>
      <c r="AO10" s="19" t="n">
        <f aca="false">(AO9*churn_rate_q)</f>
        <v>110.925852739937</v>
      </c>
    </row>
    <row r="11" customFormat="false" ht="15" hidden="false" customHeight="false" outlineLevel="0" collapsed="false">
      <c r="A11" s="2" t="s">
        <v>218</v>
      </c>
      <c r="B11" s="2" t="s">
        <v>219</v>
      </c>
      <c r="C11" s="2" t="s">
        <v>48</v>
      </c>
      <c r="D11" s="2" t="s">
        <v>186</v>
      </c>
      <c r="E11" s="2" t="s">
        <v>50</v>
      </c>
      <c r="F11" s="17" t="s">
        <v>220</v>
      </c>
      <c r="G11" s="2" t="s">
        <v>221</v>
      </c>
      <c r="H11" s="2"/>
      <c r="J11" s="19" t="n">
        <f aca="false">(J5-J10)</f>
        <v>24</v>
      </c>
      <c r="K11" s="19" t="n">
        <f aca="false">(K5-K10)</f>
        <v>30.04</v>
      </c>
      <c r="L11" s="19" t="n">
        <f aca="false">(L5-L10)</f>
        <v>34.8384</v>
      </c>
      <c r="M11" s="19" t="n">
        <f aca="false">(M5-M10)</f>
        <v>40.444864</v>
      </c>
      <c r="N11" s="19" t="n">
        <f aca="false">(N5-N10)</f>
        <v>45.82706944</v>
      </c>
      <c r="O11" s="19" t="n">
        <f aca="false">(O5-O10)</f>
        <v>49.9939866624</v>
      </c>
      <c r="P11" s="19" t="n">
        <f aca="false">(P5-P10)</f>
        <v>54.994227195904</v>
      </c>
      <c r="Q11" s="19" t="n">
        <f aca="false">(Q5-Q10)</f>
        <v>59.7944581080678</v>
      </c>
      <c r="R11" s="19" t="n">
        <f aca="false">(R5-R10)</f>
        <v>63.4026797837451</v>
      </c>
      <c r="S11" s="19" t="n">
        <f aca="false">(S5-S10)</f>
        <v>67.8665725923953</v>
      </c>
      <c r="T11" s="19" t="n">
        <f aca="false">(T5-T10)</f>
        <v>72.1519096886995</v>
      </c>
      <c r="U11" s="19" t="n">
        <f aca="false">(U5-U10)</f>
        <v>75.2658333011515</v>
      </c>
      <c r="V11" s="19" t="n">
        <f aca="false">(V5-V10)</f>
        <v>79.2551999691055</v>
      </c>
      <c r="W11" s="19" t="n">
        <f aca="false">(W5-W10)</f>
        <v>83.0849919703413</v>
      </c>
      <c r="X11" s="19" t="n">
        <f aca="false">(X5-X10)</f>
        <v>85.7615922915276</v>
      </c>
      <c r="Y11" s="19" t="n">
        <f aca="false">(Y5-Y10)</f>
        <v>89.3311285998665</v>
      </c>
      <c r="Z11" s="19" t="n">
        <f aca="false">(Z5-Z10)</f>
        <v>92.7578834558719</v>
      </c>
      <c r="AA11" s="19" t="n">
        <f aca="false">(AA5-AA10)</f>
        <v>93.047568117637</v>
      </c>
      <c r="AB11" s="19" t="n">
        <f aca="false">(AB5-AB10)</f>
        <v>93.3256653929315</v>
      </c>
      <c r="AC11" s="19" t="n">
        <f aca="false">(AC5-AC10)</f>
        <v>93.5926387772143</v>
      </c>
      <c r="AD11" s="19" t="n">
        <f aca="false">(AD5-AD10)</f>
        <v>93.8489332261257</v>
      </c>
      <c r="AE11" s="19" t="n">
        <f aca="false">(AE5-AE10)</f>
        <v>94.0949758970807</v>
      </c>
      <c r="AF11" s="19" t="n">
        <f aca="false">(AF5-AF10)</f>
        <v>94.3311768611974</v>
      </c>
      <c r="AG11" s="19" t="n">
        <f aca="false">(AG5-AG10)</f>
        <v>94.5579297867495</v>
      </c>
      <c r="AH11" s="19" t="n">
        <f aca="false">(AH5-AH10)</f>
        <v>94.7756125952795</v>
      </c>
      <c r="AI11" s="19" t="n">
        <f aca="false">(AI5-AI10)</f>
        <v>94.9845880914684</v>
      </c>
      <c r="AJ11" s="19" t="n">
        <f aca="false">(AJ5-AJ10)</f>
        <v>95.1852045678096</v>
      </c>
      <c r="AK11" s="19" t="n">
        <f aca="false">(AK5-AK10)</f>
        <v>95.3777963850973</v>
      </c>
      <c r="AL11" s="19" t="n">
        <f aca="false">(AL5-AL10)</f>
        <v>95.5626845296934</v>
      </c>
      <c r="AM11" s="19" t="n">
        <f aca="false">(AM5-AM10)</f>
        <v>95.7401771485057</v>
      </c>
      <c r="AN11" s="19" t="n">
        <f aca="false">(AN5-AN10)</f>
        <v>95.9105700625654</v>
      </c>
      <c r="AO11" s="19" t="n">
        <f aca="false">(AO5-AO10)</f>
        <v>96.0741472600628</v>
      </c>
    </row>
    <row r="12" customFormat="false" ht="15" hidden="false" customHeight="false" outlineLevel="0" collapsed="false">
      <c r="A12" s="2" t="s">
        <v>222</v>
      </c>
      <c r="B12" s="2" t="s">
        <v>223</v>
      </c>
      <c r="C12" s="2" t="s">
        <v>48</v>
      </c>
      <c r="D12" s="2" t="s">
        <v>186</v>
      </c>
      <c r="E12" s="2" t="s">
        <v>50</v>
      </c>
      <c r="F12" s="17" t="s">
        <v>224</v>
      </c>
      <c r="G12" s="2" t="s">
        <v>225</v>
      </c>
      <c r="H12" s="2"/>
      <c r="J12" s="19" t="n">
        <f aca="false">((J9+J8)/2)</f>
        <v>412</v>
      </c>
      <c r="K12" s="19" t="n">
        <f aca="false">((K9+K8)/2)</f>
        <v>439.02</v>
      </c>
      <c r="L12" s="19" t="n">
        <f aca="false">((L9+L8)/2)</f>
        <v>471.4592</v>
      </c>
      <c r="M12" s="19" t="n">
        <f aca="false">((M9+M8)/2)</f>
        <v>509.100832</v>
      </c>
      <c r="N12" s="19" t="n">
        <f aca="false">((N9+N8)/2)</f>
        <v>552.23679872</v>
      </c>
      <c r="O12" s="19" t="n">
        <f aca="false">((O9+O8)/2)</f>
        <v>600.1473267712</v>
      </c>
      <c r="P12" s="19" t="n">
        <f aca="false">((P9+P8)/2)</f>
        <v>652.641433700352</v>
      </c>
      <c r="Q12" s="19" t="n">
        <f aca="false">((Q9+Q8)/2)</f>
        <v>710.035776352338</v>
      </c>
      <c r="R12" s="19" t="n">
        <f aca="false">((R9+R8)/2)</f>
        <v>771.634345298244</v>
      </c>
      <c r="S12" s="19" t="n">
        <f aca="false">((S9+S8)/2)</f>
        <v>837.268971486315</v>
      </c>
      <c r="T12" s="19" t="n">
        <f aca="false">((T9+T8)/2)</f>
        <v>907.278212626862</v>
      </c>
      <c r="U12" s="19" t="n">
        <f aca="false">((U9+U8)/2)</f>
        <v>980.987084121788</v>
      </c>
      <c r="V12" s="19" t="n">
        <f aca="false">((V9+V8)/2)</f>
        <v>1058.24760075692</v>
      </c>
      <c r="W12" s="19" t="n">
        <f aca="false">((W9+W8)/2)</f>
        <v>1139.41769672664</v>
      </c>
      <c r="X12" s="19" t="n">
        <f aca="false">((X9+X8)/2)</f>
        <v>1223.84098885757</v>
      </c>
      <c r="Y12" s="19" t="n">
        <f aca="false">((Y9+Y8)/2)</f>
        <v>1311.38734930327</v>
      </c>
      <c r="Z12" s="19" t="n">
        <f aca="false">((Z9+Z8)/2)</f>
        <v>1402.43185533114</v>
      </c>
      <c r="AA12" s="19" t="n">
        <f aca="false">((AA9+AA8)/2)</f>
        <v>1495.33458111789</v>
      </c>
      <c r="AB12" s="19" t="n">
        <f aca="false">((AB9+AB8)/2)</f>
        <v>1588.52119787318</v>
      </c>
      <c r="AC12" s="19" t="n">
        <f aca="false">((AC9+AC8)/2)</f>
        <v>1681.98034995825</v>
      </c>
      <c r="AD12" s="19" t="n">
        <f aca="false">((AD9+AD8)/2)</f>
        <v>1775.70113595992</v>
      </c>
      <c r="AE12" s="19" t="n">
        <f aca="false">((AE9+AE8)/2)</f>
        <v>1869.67309052152</v>
      </c>
      <c r="AF12" s="19" t="n">
        <f aca="false">((AF9+AF8)/2)</f>
        <v>1963.88616690066</v>
      </c>
      <c r="AG12" s="19" t="n">
        <f aca="false">((AG9+AG8)/2)</f>
        <v>2058.33072022464</v>
      </c>
      <c r="AH12" s="19" t="n">
        <f aca="false">((AH9+AH8)/2)</f>
        <v>2152.99749141565</v>
      </c>
      <c r="AI12" s="19" t="n">
        <f aca="false">((AI9+AI8)/2)</f>
        <v>2247.87759175902</v>
      </c>
      <c r="AJ12" s="19" t="n">
        <f aca="false">((AJ9+AJ8)/2)</f>
        <v>2342.96248808866</v>
      </c>
      <c r="AK12" s="19" t="n">
        <f aca="false">((AK9+AK8)/2)</f>
        <v>2438.24398856512</v>
      </c>
      <c r="AL12" s="19" t="n">
        <f aca="false">((AL9+AL8)/2)</f>
        <v>2533.71422902251</v>
      </c>
      <c r="AM12" s="19" t="n">
        <f aca="false">((AM9+AM8)/2)</f>
        <v>2629.36565986161</v>
      </c>
      <c r="AN12" s="19" t="n">
        <f aca="false">((AN9+AN8)/2)</f>
        <v>2725.19103346715</v>
      </c>
      <c r="AO12" s="19" t="n">
        <f aca="false">((AO9+AO8)/2)</f>
        <v>2821.18339212846</v>
      </c>
    </row>
    <row r="13" customFormat="false" ht="15" hidden="false" customHeight="false" outlineLevel="0" collapsed="false">
      <c r="A13" s="2" t="s">
        <v>226</v>
      </c>
      <c r="B13" s="2" t="s">
        <v>227</v>
      </c>
      <c r="C13" s="2" t="s">
        <v>79</v>
      </c>
      <c r="D13" s="2" t="s">
        <v>74</v>
      </c>
      <c r="E13" s="2" t="s">
        <v>75</v>
      </c>
      <c r="F13" s="17" t="s">
        <v>228</v>
      </c>
      <c r="G13" s="2" t="s">
        <v>229</v>
      </c>
      <c r="H13" s="2"/>
      <c r="I13" s="21" t="n">
        <f aca="false">(POWER((1+price_growth_annual),0.25)-1)</f>
        <v>0.00741707177773288</v>
      </c>
    </row>
    <row r="14" customFormat="false" ht="15" hidden="false" customHeight="false" outlineLevel="0" collapsed="false">
      <c r="A14" s="2" t="s">
        <v>230</v>
      </c>
      <c r="B14" s="2" t="s">
        <v>231</v>
      </c>
      <c r="C14" s="2" t="s">
        <v>79</v>
      </c>
      <c r="D14" s="2" t="s">
        <v>196</v>
      </c>
      <c r="E14" s="2" t="s">
        <v>232</v>
      </c>
      <c r="F14" s="17" t="s">
        <v>233</v>
      </c>
      <c r="G14" s="2" t="s">
        <v>234</v>
      </c>
      <c r="H14" s="2" t="s">
        <v>235</v>
      </c>
      <c r="J14" s="20" t="n">
        <f aca="false">(1)*(1+price_growth_q)^(Timeline!J$9-1)</f>
        <v>1</v>
      </c>
      <c r="K14" s="20" t="n">
        <f aca="false">(1)*(1+price_growth_q)^(Timeline!K$9-1)</f>
        <v>1.00741707177773</v>
      </c>
      <c r="L14" s="20" t="n">
        <f aca="false">(1)*(1+price_growth_q)^(Timeline!L$9-1)</f>
        <v>1.01488915650922</v>
      </c>
      <c r="M14" s="20" t="n">
        <f aca="false">(1)*(1+price_growth_q)^(Timeline!M$9-1)</f>
        <v>1.02241666222949</v>
      </c>
      <c r="N14" s="20" t="n">
        <f aca="false">(1)*(1+price_growth_q)^(Timeline!N$9-1)</f>
        <v>1.03</v>
      </c>
      <c r="O14" s="20" t="n">
        <f aca="false">(1)*(1+price_growth_q)^(Timeline!O$9-1)</f>
        <v>1.03763958393106</v>
      </c>
      <c r="P14" s="20" t="n">
        <f aca="false">(1)*(1+price_growth_q)^(Timeline!P$9-1)</f>
        <v>1.0453358312045</v>
      </c>
      <c r="Q14" s="20" t="n">
        <f aca="false">(1)*(1+price_growth_q)^(Timeline!Q$9-1)</f>
        <v>1.05308916209638</v>
      </c>
      <c r="R14" s="20" t="n">
        <f aca="false">(1)*(1+price_growth_q)^(Timeline!R$9-1)</f>
        <v>1.0609</v>
      </c>
      <c r="S14" s="20" t="n">
        <f aca="false">(1)*(1+price_growth_q)^(Timeline!S$9-1)</f>
        <v>1.068768771449</v>
      </c>
      <c r="T14" s="20" t="n">
        <f aca="false">(1)*(1+price_growth_q)^(Timeline!T$9-1)</f>
        <v>1.07669590614063</v>
      </c>
      <c r="U14" s="20" t="n">
        <f aca="false">(1)*(1+price_growth_q)^(Timeline!U$9-1)</f>
        <v>1.08468183695927</v>
      </c>
      <c r="V14" s="20" t="n">
        <f aca="false">(1)*(1+price_growth_q)^(Timeline!V$9-1)</f>
        <v>1.092727</v>
      </c>
      <c r="W14" s="20" t="n">
        <f aca="false">(1)*(1+price_growth_q)^(Timeline!W$9-1)</f>
        <v>1.10083183459247</v>
      </c>
      <c r="X14" s="20" t="n">
        <f aca="false">(1)*(1+price_growth_q)^(Timeline!X$9-1)</f>
        <v>1.10899678332485</v>
      </c>
      <c r="Y14" s="20" t="n">
        <f aca="false">(1)*(1+price_growth_q)^(Timeline!Y$9-1)</f>
        <v>1.11722229206805</v>
      </c>
      <c r="Z14" s="20" t="n">
        <f aca="false">(1)*(1+price_growth_q)^(Timeline!Z$9-1)</f>
        <v>1.12550881</v>
      </c>
      <c r="AA14" s="20" t="n">
        <f aca="false">(1)*(1+price_growth_q)^(Timeline!AA$9-1)</f>
        <v>1.13385678963024</v>
      </c>
      <c r="AB14" s="20" t="n">
        <f aca="false">(1)*(1+price_growth_q)^(Timeline!AB$9-1)</f>
        <v>1.1422666868246</v>
      </c>
      <c r="AC14" s="20" t="n">
        <f aca="false">(1)*(1+price_growth_q)^(Timeline!AC$9-1)</f>
        <v>1.15073896083009</v>
      </c>
      <c r="AD14" s="20" t="n">
        <f aca="false">(1)*(1+price_growth_q)^(Timeline!AD$9-1)</f>
        <v>1.1592740743</v>
      </c>
      <c r="AE14" s="20" t="n">
        <f aca="false">(1)*(1+price_growth_q)^(Timeline!AE$9-1)</f>
        <v>1.16787249331915</v>
      </c>
      <c r="AF14" s="20" t="n">
        <f aca="false">(1)*(1+price_growth_q)^(Timeline!AF$9-1)</f>
        <v>1.17653468742933</v>
      </c>
      <c r="AG14" s="20" t="n">
        <f aca="false">(1)*(1+price_growth_q)^(Timeline!AG$9-1)</f>
        <v>1.18526112965499</v>
      </c>
      <c r="AH14" s="20" t="n">
        <f aca="false">(1)*(1+price_growth_q)^(Timeline!AH$9-1)</f>
        <v>1.194052296529</v>
      </c>
      <c r="AI14" s="20" t="n">
        <f aca="false">(1)*(1+price_growth_q)^(Timeline!AI$9-1)</f>
        <v>1.20290866811872</v>
      </c>
      <c r="AJ14" s="20" t="n">
        <f aca="false">(1)*(1+price_growth_q)^(Timeline!AJ$9-1)</f>
        <v>1.21183072805221</v>
      </c>
      <c r="AK14" s="20" t="n">
        <f aca="false">(1)*(1+price_growth_q)^(Timeline!AK$9-1)</f>
        <v>1.22081896354464</v>
      </c>
      <c r="AL14" s="20" t="n">
        <f aca="false">(1)*(1+price_growth_q)^(Timeline!AL$9-1)</f>
        <v>1.22987386542487</v>
      </c>
      <c r="AM14" s="20" t="n">
        <f aca="false">(1)*(1+price_growth_q)^(Timeline!AM$9-1)</f>
        <v>1.23899592816228</v>
      </c>
      <c r="AN14" s="20" t="n">
        <f aca="false">(1)*(1+price_growth_q)^(Timeline!AN$9-1)</f>
        <v>1.24818564989378</v>
      </c>
      <c r="AO14" s="20" t="n">
        <f aca="false">(1)*(1+price_growth_q)^(Timeline!AO$9-1)</f>
        <v>1.25744353245098</v>
      </c>
    </row>
    <row r="15" customFormat="false" ht="15" hidden="false" customHeight="false" outlineLevel="0" collapsed="false">
      <c r="A15" s="2" t="s">
        <v>236</v>
      </c>
      <c r="B15" s="2" t="s">
        <v>237</v>
      </c>
      <c r="C15" s="2" t="s">
        <v>79</v>
      </c>
      <c r="D15" s="2" t="s">
        <v>54</v>
      </c>
      <c r="E15" s="2" t="s">
        <v>61</v>
      </c>
      <c r="F15" s="17" t="s">
        <v>238</v>
      </c>
      <c r="G15" s="2" t="s">
        <v>239</v>
      </c>
      <c r="H15" s="2"/>
      <c r="J15" s="22" t="n">
        <f aca="false">(arpa_monthly*J14)</f>
        <v>2000</v>
      </c>
      <c r="K15" s="22" t="n">
        <f aca="false">(arpa_monthly*K14)</f>
        <v>2014.83414355547</v>
      </c>
      <c r="L15" s="22" t="n">
        <f aca="false">(arpa_monthly*L14)</f>
        <v>2029.77831301844</v>
      </c>
      <c r="M15" s="22" t="n">
        <f aca="false">(arpa_monthly*M14)</f>
        <v>2044.83332445899</v>
      </c>
      <c r="N15" s="22" t="n">
        <f aca="false">(arpa_monthly*N14)</f>
        <v>2060</v>
      </c>
      <c r="O15" s="22" t="n">
        <f aca="false">(arpa_monthly*O14)</f>
        <v>2075.27916786213</v>
      </c>
      <c r="P15" s="22" t="n">
        <f aca="false">(arpa_monthly*P14)</f>
        <v>2090.671662409</v>
      </c>
      <c r="Q15" s="22" t="n">
        <f aca="false">(arpa_monthly*Q14)</f>
        <v>2106.17832419276</v>
      </c>
      <c r="R15" s="22" t="n">
        <f aca="false">(arpa_monthly*R14)</f>
        <v>2121.8</v>
      </c>
      <c r="S15" s="22" t="n">
        <f aca="false">(arpa_monthly*S14)</f>
        <v>2137.53754289799</v>
      </c>
      <c r="T15" s="22" t="n">
        <f aca="false">(arpa_monthly*T14)</f>
        <v>2153.39181228127</v>
      </c>
      <c r="U15" s="22" t="n">
        <f aca="false">(arpa_monthly*U14)</f>
        <v>2169.36367391854</v>
      </c>
      <c r="V15" s="22" t="n">
        <f aca="false">(arpa_monthly*V14)</f>
        <v>2185.454</v>
      </c>
      <c r="W15" s="22" t="n">
        <f aca="false">(arpa_monthly*W14)</f>
        <v>2201.66366918493</v>
      </c>
      <c r="X15" s="22" t="n">
        <f aca="false">(arpa_monthly*X14)</f>
        <v>2217.9935666497</v>
      </c>
      <c r="Y15" s="22" t="n">
        <f aca="false">(arpa_monthly*Y14)</f>
        <v>2234.44458413609</v>
      </c>
      <c r="Z15" s="22" t="n">
        <f aca="false">(arpa_monthly*Z14)</f>
        <v>2251.01762</v>
      </c>
      <c r="AA15" s="22" t="n">
        <f aca="false">(arpa_monthly*AA14)</f>
        <v>2267.71357926048</v>
      </c>
      <c r="AB15" s="22" t="n">
        <f aca="false">(arpa_monthly*AB14)</f>
        <v>2284.53337364919</v>
      </c>
      <c r="AC15" s="22" t="n">
        <f aca="false">(arpa_monthly*AC14)</f>
        <v>2301.47792166018</v>
      </c>
      <c r="AD15" s="22" t="n">
        <f aca="false">(arpa_monthly*AD14)</f>
        <v>2318.5481486</v>
      </c>
      <c r="AE15" s="22" t="n">
        <f aca="false">(arpa_monthly*AE14)</f>
        <v>2335.74498663829</v>
      </c>
      <c r="AF15" s="22" t="n">
        <f aca="false">(arpa_monthly*AF14)</f>
        <v>2353.06937485867</v>
      </c>
      <c r="AG15" s="22" t="n">
        <f aca="false">(arpa_monthly*AG14)</f>
        <v>2370.52225930998</v>
      </c>
      <c r="AH15" s="22" t="n">
        <f aca="false">(arpa_monthly*AH14)</f>
        <v>2388.104593058</v>
      </c>
      <c r="AI15" s="22" t="n">
        <f aca="false">(arpa_monthly*AI14)</f>
        <v>2405.81733623744</v>
      </c>
      <c r="AJ15" s="22" t="n">
        <f aca="false">(arpa_monthly*AJ14)</f>
        <v>2423.66145610443</v>
      </c>
      <c r="AK15" s="22" t="n">
        <f aca="false">(arpa_monthly*AK14)</f>
        <v>2441.63792708928</v>
      </c>
      <c r="AL15" s="22" t="n">
        <f aca="false">(arpa_monthly*AL14)</f>
        <v>2459.74773084973</v>
      </c>
      <c r="AM15" s="22" t="n">
        <f aca="false">(arpa_monthly*AM14)</f>
        <v>2477.99185632456</v>
      </c>
      <c r="AN15" s="22" t="n">
        <f aca="false">(arpa_monthly*AN14)</f>
        <v>2496.37129978756</v>
      </c>
      <c r="AO15" s="22" t="n">
        <f aca="false">(arpa_monthly*AO14)</f>
        <v>2514.88706490196</v>
      </c>
    </row>
    <row r="16" customFormat="false" ht="15" hidden="false" customHeight="false" outlineLevel="0" collapsed="false">
      <c r="A16" s="2" t="s">
        <v>240</v>
      </c>
      <c r="B16" s="2" t="s">
        <v>241</v>
      </c>
      <c r="C16" s="2" t="s">
        <v>242</v>
      </c>
      <c r="D16" s="2" t="s">
        <v>54</v>
      </c>
      <c r="E16" s="2" t="s">
        <v>55</v>
      </c>
      <c r="F16" s="17" t="s">
        <v>243</v>
      </c>
      <c r="G16" s="2" t="s">
        <v>244</v>
      </c>
      <c r="H16" s="2"/>
      <c r="J16" s="22" t="n">
        <f aca="false">(J8*J15)</f>
        <v>848000</v>
      </c>
      <c r="K16" s="22" t="n">
        <f aca="false">(K8*K15)</f>
        <v>914815.294539924</v>
      </c>
      <c r="L16" s="22" t="n">
        <f aca="false">(L8*L15)</f>
        <v>992314.774023156</v>
      </c>
      <c r="M16" s="22" t="n">
        <f aca="false">(M8*M15)</f>
        <v>1082377.8496386</v>
      </c>
      <c r="N16" s="22" t="n">
        <f aca="false">(N8*N15)</f>
        <v>1184809.6868864</v>
      </c>
      <c r="O16" s="22" t="n">
        <f aca="false">(O8*O15)</f>
        <v>1297348.98441585</v>
      </c>
      <c r="P16" s="22" t="n">
        <f aca="false">(P8*P15)</f>
        <v>1421946.38734858</v>
      </c>
      <c r="Q16" s="22" t="n">
        <f aca="false">(Q8*Q15)</f>
        <v>1558430.8573417</v>
      </c>
      <c r="R16" s="22" t="n">
        <f aca="false">(R8*R15)</f>
        <v>1704517.65683639</v>
      </c>
      <c r="S16" s="22" t="n">
        <f aca="false">(S8*S15)</f>
        <v>1862227.53346761</v>
      </c>
      <c r="T16" s="22" t="n">
        <f aca="false">(T8*T15)</f>
        <v>2031411.14031392</v>
      </c>
      <c r="U16" s="22" t="n">
        <f aca="false">(U8*U15)</f>
        <v>2209757.22720244</v>
      </c>
      <c r="V16" s="22" t="n">
        <f aca="false">(V8*V15)</f>
        <v>2399355.74896124</v>
      </c>
      <c r="W16" s="22" t="n">
        <f aca="false">(W8*W15)</f>
        <v>2600077.15104723</v>
      </c>
      <c r="X16" s="22" t="n">
        <f aca="false">(X8*X15)</f>
        <v>2809580.76987243</v>
      </c>
      <c r="Y16" s="22" t="n">
        <f aca="false">(Y8*Y15)</f>
        <v>3030025.08860265</v>
      </c>
      <c r="Z16" s="22" t="n">
        <f aca="false">(Z8*Z15)</f>
        <v>3261298.63222622</v>
      </c>
      <c r="AA16" s="22" t="n">
        <f aca="false">(AA8*AA15)</f>
        <v>3496493.15200759</v>
      </c>
      <c r="AB16" s="22" t="n">
        <f aca="false">(AB8*AB15)</f>
        <v>3735632.48989455</v>
      </c>
      <c r="AC16" s="22" t="n">
        <f aca="false">(AC8*AC15)</f>
        <v>3978741.33598301</v>
      </c>
      <c r="AD16" s="22" t="n">
        <f aca="false">(AD8*AD15)</f>
        <v>4225845.21643654</v>
      </c>
      <c r="AE16" s="22" t="n">
        <f aca="false">(AE8*AE15)</f>
        <v>4476970.4819479</v>
      </c>
      <c r="AF16" s="22" t="n">
        <f aca="false">(AF8*AF15)</f>
        <v>4732144.29672576</v>
      </c>
      <c r="AG16" s="22" t="n">
        <f aca="false">(AG8*AG15)</f>
        <v>4991394.62799092</v>
      </c>
      <c r="AH16" s="22" t="n">
        <f aca="false">(AH8*AH15)</f>
        <v>5254750.2359664</v>
      </c>
      <c r="AI16" s="22" t="n">
        <f aca="false">(AI8*AI15)</f>
        <v>5522240.66434644</v>
      </c>
      <c r="AJ16" s="22" t="n">
        <f aca="false">(AJ8*AJ15)</f>
        <v>5793896.23123023</v>
      </c>
      <c r="AK16" s="22" t="n">
        <f aca="false">(AK8*AK15)</f>
        <v>6069748.02050605</v>
      </c>
      <c r="AL16" s="22" t="n">
        <f aca="false">(AL8*AL15)</f>
        <v>6349827.87367272</v>
      </c>
      <c r="AM16" s="22" t="n">
        <f aca="false">(AM8*AM15)</f>
        <v>6634168.38208507</v>
      </c>
      <c r="AN16" s="22" t="n">
        <f aca="false">(AN8*AN15)</f>
        <v>6922802.87961101</v>
      </c>
      <c r="AO16" s="22" t="n">
        <f aca="false">(AO8*AO15)</f>
        <v>7215765.435688</v>
      </c>
    </row>
    <row r="17" customFormat="false" ht="15" hidden="false" customHeight="false" outlineLevel="0" collapsed="false">
      <c r="A17" s="2" t="s">
        <v>245</v>
      </c>
      <c r="B17" s="2" t="s">
        <v>246</v>
      </c>
      <c r="C17" s="2" t="s">
        <v>242</v>
      </c>
      <c r="D17" s="2" t="s">
        <v>54</v>
      </c>
      <c r="E17" s="2" t="s">
        <v>55</v>
      </c>
      <c r="F17" s="17" t="s">
        <v>247</v>
      </c>
      <c r="G17" s="2" t="s">
        <v>248</v>
      </c>
      <c r="H17" s="2"/>
      <c r="J17" s="22" t="n">
        <f aca="false">(J16*months_per_year)</f>
        <v>10176000</v>
      </c>
      <c r="K17" s="22" t="n">
        <f aca="false">(K16*months_per_year)</f>
        <v>10977783.5344791</v>
      </c>
      <c r="L17" s="22" t="n">
        <f aca="false">(L16*months_per_year)</f>
        <v>11907777.2882779</v>
      </c>
      <c r="M17" s="22" t="n">
        <f aca="false">(M16*months_per_year)</f>
        <v>12988534.1956632</v>
      </c>
      <c r="N17" s="22" t="n">
        <f aca="false">(N16*months_per_year)</f>
        <v>14217716.2426368</v>
      </c>
      <c r="O17" s="22" t="n">
        <f aca="false">(O16*months_per_year)</f>
        <v>15568187.8129901</v>
      </c>
      <c r="P17" s="22" t="n">
        <f aca="false">(P16*months_per_year)</f>
        <v>17063356.648183</v>
      </c>
      <c r="Q17" s="22" t="n">
        <f aca="false">(Q16*months_per_year)</f>
        <v>18701170.2881004</v>
      </c>
      <c r="R17" s="22" t="n">
        <f aca="false">(R16*months_per_year)</f>
        <v>20454211.8820367</v>
      </c>
      <c r="S17" s="22" t="n">
        <f aca="false">(S16*months_per_year)</f>
        <v>22346730.4016114</v>
      </c>
      <c r="T17" s="22" t="n">
        <f aca="false">(T16*months_per_year)</f>
        <v>24376933.683767</v>
      </c>
      <c r="U17" s="22" t="n">
        <f aca="false">(U16*months_per_year)</f>
        <v>26517086.7264293</v>
      </c>
      <c r="V17" s="22" t="n">
        <f aca="false">(V16*months_per_year)</f>
        <v>28792268.9875349</v>
      </c>
      <c r="W17" s="22" t="n">
        <f aca="false">(W16*months_per_year)</f>
        <v>31200925.8125667</v>
      </c>
      <c r="X17" s="22" t="n">
        <f aca="false">(X16*months_per_year)</f>
        <v>33714969.2384692</v>
      </c>
      <c r="Y17" s="22" t="n">
        <f aca="false">(Y16*months_per_year)</f>
        <v>36360301.0632318</v>
      </c>
      <c r="Z17" s="22" t="n">
        <f aca="false">(Z16*months_per_year)</f>
        <v>39135583.5867146</v>
      </c>
      <c r="AA17" s="22" t="n">
        <f aca="false">(AA16*months_per_year)</f>
        <v>41957917.8240911</v>
      </c>
      <c r="AB17" s="22" t="n">
        <f aca="false">(AB16*months_per_year)</f>
        <v>44827589.8787346</v>
      </c>
      <c r="AC17" s="22" t="n">
        <f aca="false">(AC16*months_per_year)</f>
        <v>47744896.0317961</v>
      </c>
      <c r="AD17" s="22" t="n">
        <f aca="false">(AD16*months_per_year)</f>
        <v>50710142.5972385</v>
      </c>
      <c r="AE17" s="22" t="n">
        <f aca="false">(AE16*months_per_year)</f>
        <v>53723645.7833748</v>
      </c>
      <c r="AF17" s="22" t="n">
        <f aca="false">(AF16*months_per_year)</f>
        <v>56785731.5607091</v>
      </c>
      <c r="AG17" s="22" t="n">
        <f aca="false">(AG16*months_per_year)</f>
        <v>59896735.5358911</v>
      </c>
      <c r="AH17" s="22" t="n">
        <f aca="false">(AH16*months_per_year)</f>
        <v>63057002.8315967</v>
      </c>
      <c r="AI17" s="22" t="n">
        <f aca="false">(AI16*months_per_year)</f>
        <v>66266887.9721573</v>
      </c>
      <c r="AJ17" s="22" t="n">
        <f aca="false">(AJ16*months_per_year)</f>
        <v>69526754.7747628</v>
      </c>
      <c r="AK17" s="22" t="n">
        <f aca="false">(AK16*months_per_year)</f>
        <v>72836976.2460726</v>
      </c>
      <c r="AL17" s="22" t="n">
        <f aca="false">(AL16*months_per_year)</f>
        <v>76197934.4840726</v>
      </c>
      <c r="AM17" s="22" t="n">
        <f aca="false">(AM16*months_per_year)</f>
        <v>79610020.5850208</v>
      </c>
      <c r="AN17" s="22" t="n">
        <f aca="false">(AN16*months_per_year)</f>
        <v>83073634.5553321</v>
      </c>
      <c r="AO17" s="22" t="n">
        <f aca="false">(AO16*months_per_year)</f>
        <v>86589185.228256</v>
      </c>
    </row>
    <row r="18" customFormat="false" ht="15" hidden="false" customHeight="false" outlineLevel="0" collapsed="false">
      <c r="A18" s="2" t="s">
        <v>249</v>
      </c>
      <c r="B18" s="2" t="s">
        <v>242</v>
      </c>
      <c r="C18" s="2" t="s">
        <v>242</v>
      </c>
      <c r="D18" s="2" t="s">
        <v>54</v>
      </c>
      <c r="E18" s="2" t="s">
        <v>55</v>
      </c>
      <c r="F18" s="17" t="s">
        <v>250</v>
      </c>
      <c r="G18" s="2" t="s">
        <v>251</v>
      </c>
      <c r="H18" s="2" t="s">
        <v>252</v>
      </c>
      <c r="J18" s="22" t="n">
        <f aca="false">((J12*J15)*months_per_quarter)</f>
        <v>2472000</v>
      </c>
      <c r="K18" s="22" t="n">
        <f aca="false">((K12*K15)*months_per_quarter)</f>
        <v>2653657.45711116</v>
      </c>
      <c r="L18" s="22" t="n">
        <f aca="false">((L12*L15)*months_per_quarter)</f>
        <v>2870872.97889907</v>
      </c>
      <c r="M18" s="22" t="n">
        <f aca="false">((M12*M15)*months_per_quarter)</f>
        <v>3123079.04035019</v>
      </c>
      <c r="N18" s="22" t="n">
        <f aca="false">((N12*N15)*months_per_quarter)</f>
        <v>3412823.4160896</v>
      </c>
      <c r="O18" s="22" t="n">
        <f aca="false">((O12*O15)*months_per_quarter)</f>
        <v>3736419.73468925</v>
      </c>
      <c r="P18" s="22" t="n">
        <f aca="false">((P12*P15)*months_per_quarter)</f>
        <v>4093376.85345392</v>
      </c>
      <c r="Q18" s="22" t="n">
        <f aca="false">((Q12*Q15)*months_per_quarter)</f>
        <v>4486385.88466401</v>
      </c>
      <c r="R18" s="22" t="n">
        <f aca="false">((R12*R15)*months_per_quarter)</f>
        <v>4911761.26156144</v>
      </c>
      <c r="S18" s="22" t="n">
        <f aca="false">((S12*S15)*months_per_quarter)</f>
        <v>5369081.58016676</v>
      </c>
      <c r="T18" s="22" t="n">
        <f aca="false">((T12*T15)*months_per_quarter)</f>
        <v>5861176.4235956</v>
      </c>
      <c r="U18" s="22" t="n">
        <f aca="false">((U12*U15)*months_per_quarter)</f>
        <v>6384353.23463123</v>
      </c>
      <c r="V18" s="22" t="n">
        <f aca="false">((V12*V15)*months_per_quarter)</f>
        <v>6938254.35619381</v>
      </c>
      <c r="W18" s="22" t="n">
        <f aca="false">((W12*W15)*months_per_quarter)</f>
        <v>7525843.64072825</v>
      </c>
      <c r="X18" s="22" t="n">
        <f aca="false">((X12*X15)*months_per_quarter)</f>
        <v>8143414.31966493</v>
      </c>
      <c r="Y18" s="22" t="n">
        <f aca="false">((Y12*Y15)*months_per_quarter)</f>
        <v>8790667.08106584</v>
      </c>
      <c r="Z18" s="22" t="n">
        <f aca="false">((Z12*Z15)*months_per_quarter)</f>
        <v>9470696.45159905</v>
      </c>
      <c r="AA18" s="22" t="n">
        <f aca="false">((AA12*AA15)*months_per_quarter)</f>
        <v>10172971.6054165</v>
      </c>
      <c r="AB18" s="22" t="n">
        <f aca="false">((AB12*AB15)*months_per_quarter)</f>
        <v>10887089.0738714</v>
      </c>
      <c r="AC18" s="22" t="n">
        <f aca="false">((AC12*AC15)*months_per_quarter)</f>
        <v>11613121.9202855</v>
      </c>
      <c r="AD18" s="22" t="n">
        <f aca="false">((AD12*AD15)*months_per_quarter)</f>
        <v>12351145.7437404</v>
      </c>
      <c r="AE18" s="22" t="n">
        <f aca="false">((AE12*AE15)*months_per_quarter)</f>
        <v>13101238.6435145</v>
      </c>
      <c r="AF18" s="22" t="n">
        <f aca="false">((AF12*AF15)*months_per_quarter)</f>
        <v>13863481.1851276</v>
      </c>
      <c r="AG18" s="22" t="n">
        <f aca="false">((AG12*AG15)*months_per_quarter)</f>
        <v>14637956.3679421</v>
      </c>
      <c r="AH18" s="22" t="n">
        <f aca="false">((AH12*AH15)*months_per_quarter)</f>
        <v>15424749.5942762</v>
      </c>
      <c r="AI18" s="22" t="n">
        <f aca="false">((AI12*AI15)*months_per_quarter)</f>
        <v>16223948.6399806</v>
      </c>
      <c r="AJ18" s="22" t="n">
        <f aca="false">((AJ12*AJ15)*months_per_quarter)</f>
        <v>17035643.6264371</v>
      </c>
      <c r="AK18" s="22" t="n">
        <f aca="false">((AK12*AK15)*months_per_quarter)</f>
        <v>17859926.9939341</v>
      </c>
      <c r="AL18" s="22" t="n">
        <f aca="false">((AL12*AL15)*months_per_quarter)</f>
        <v>18696893.4763794</v>
      </c>
      <c r="AM18" s="22" t="n">
        <f aca="false">((AM12*AM15)*months_per_quarter)</f>
        <v>19546640.0773096</v>
      </c>
      <c r="AN18" s="22" t="n">
        <f aca="false">((AN12*AN15)*months_per_quarter)</f>
        <v>20409266.0471574</v>
      </c>
      <c r="AO18" s="22" t="n">
        <f aca="false">((AO12*AO15)*months_per_quarter)</f>
        <v>21284872.8617403</v>
      </c>
    </row>
    <row r="19" customFormat="false" ht="15" hidden="false" customHeight="false" outlineLevel="0" collapsed="false">
      <c r="A19" s="2" t="s">
        <v>253</v>
      </c>
      <c r="B19" s="2" t="s">
        <v>254</v>
      </c>
      <c r="C19" s="2" t="s">
        <v>91</v>
      </c>
      <c r="D19" s="2" t="s">
        <v>54</v>
      </c>
      <c r="E19" s="2" t="s">
        <v>55</v>
      </c>
      <c r="F19" s="17" t="s">
        <v>255</v>
      </c>
      <c r="G19" s="2" t="s">
        <v>256</v>
      </c>
      <c r="H19" s="2"/>
      <c r="J19" s="22" t="n">
        <f aca="false">((J12*hosting_cost_monthly)*months_per_quarter)</f>
        <v>173040</v>
      </c>
      <c r="K19" s="22" t="n">
        <f aca="false">((K12*hosting_cost_monthly)*months_per_quarter)</f>
        <v>184388.4</v>
      </c>
      <c r="L19" s="22" t="n">
        <f aca="false">((L12*hosting_cost_monthly)*months_per_quarter)</f>
        <v>198012.864</v>
      </c>
      <c r="M19" s="22" t="n">
        <f aca="false">((M12*hosting_cost_monthly)*months_per_quarter)</f>
        <v>213822.34944</v>
      </c>
      <c r="N19" s="22" t="n">
        <f aca="false">((N12*hosting_cost_monthly)*months_per_quarter)</f>
        <v>231939.4554624</v>
      </c>
      <c r="O19" s="22" t="n">
        <f aca="false">((O12*hosting_cost_monthly)*months_per_quarter)</f>
        <v>252061.877243904</v>
      </c>
      <c r="P19" s="22" t="n">
        <f aca="false">((P12*hosting_cost_monthly)*months_per_quarter)</f>
        <v>274109.402154148</v>
      </c>
      <c r="Q19" s="22" t="n">
        <f aca="false">((Q12*hosting_cost_monthly)*months_per_quarter)</f>
        <v>298215.026067982</v>
      </c>
      <c r="R19" s="22" t="n">
        <f aca="false">((R12*hosting_cost_monthly)*months_per_quarter)</f>
        <v>324086.425025263</v>
      </c>
      <c r="S19" s="22" t="n">
        <f aca="false">((S12*hosting_cost_monthly)*months_per_quarter)</f>
        <v>351652.968024252</v>
      </c>
      <c r="T19" s="22" t="n">
        <f aca="false">((T12*hosting_cost_monthly)*months_per_quarter)</f>
        <v>381056.849303282</v>
      </c>
      <c r="U19" s="22" t="n">
        <f aca="false">((U12*hosting_cost_monthly)*months_per_quarter)</f>
        <v>412014.575331151</v>
      </c>
      <c r="V19" s="22" t="n">
        <f aca="false">((V12*hosting_cost_monthly)*months_per_quarter)</f>
        <v>444463.992317905</v>
      </c>
      <c r="W19" s="22" t="n">
        <f aca="false">((W12*hosting_cost_monthly)*months_per_quarter)</f>
        <v>478555.432625188</v>
      </c>
      <c r="X19" s="22" t="n">
        <f aca="false">((X12*hosting_cost_monthly)*months_per_quarter)</f>
        <v>514013.215320181</v>
      </c>
      <c r="Y19" s="22" t="n">
        <f aca="false">((Y12*hosting_cost_monthly)*months_per_quarter)</f>
        <v>550782.686707374</v>
      </c>
      <c r="Z19" s="22" t="n">
        <f aca="false">((Z12*hosting_cost_monthly)*months_per_quarter)</f>
        <v>589021.379239079</v>
      </c>
      <c r="AA19" s="22" t="n">
        <f aca="false">((AA12*hosting_cost_monthly)*months_per_quarter)</f>
        <v>628040.524069516</v>
      </c>
      <c r="AB19" s="22" t="n">
        <f aca="false">((AB12*hosting_cost_monthly)*months_per_quarter)</f>
        <v>667178.903106735</v>
      </c>
      <c r="AC19" s="22" t="n">
        <f aca="false">((AC12*hosting_cost_monthly)*months_per_quarter)</f>
        <v>706431.746982466</v>
      </c>
      <c r="AD19" s="22" t="n">
        <f aca="false">((AD12*hosting_cost_monthly)*months_per_quarter)</f>
        <v>745794.477103167</v>
      </c>
      <c r="AE19" s="22" t="n">
        <f aca="false">((AE12*hosting_cost_monthly)*months_per_quarter)</f>
        <v>785262.69801904</v>
      </c>
      <c r="AF19" s="22" t="n">
        <f aca="false">((AF12*hosting_cost_monthly)*months_per_quarter)</f>
        <v>824832.190098279</v>
      </c>
      <c r="AG19" s="22" t="n">
        <f aca="false">((AG12*hosting_cost_monthly)*months_per_quarter)</f>
        <v>864498.902494347</v>
      </c>
      <c r="AH19" s="22" t="n">
        <f aca="false">((AH12*hosting_cost_monthly)*months_per_quarter)</f>
        <v>904258.946394573</v>
      </c>
      <c r="AI19" s="22" t="n">
        <f aca="false">((AI12*hosting_cost_monthly)*months_per_quarter)</f>
        <v>944108.58853879</v>
      </c>
      <c r="AJ19" s="22" t="n">
        <f aca="false">((AJ12*hosting_cost_monthly)*months_per_quarter)</f>
        <v>984044.244997239</v>
      </c>
      <c r="AK19" s="22" t="n">
        <f aca="false">((AK12*hosting_cost_monthly)*months_per_quarter)</f>
        <v>1024062.47519735</v>
      </c>
      <c r="AL19" s="22" t="n">
        <f aca="false">((AL12*hosting_cost_monthly)*months_per_quarter)</f>
        <v>1064159.97618946</v>
      </c>
      <c r="AM19" s="22" t="n">
        <f aca="false">((AM12*hosting_cost_monthly)*months_per_quarter)</f>
        <v>1104333.57714188</v>
      </c>
      <c r="AN19" s="22" t="n">
        <f aca="false">((AN12*hosting_cost_monthly)*months_per_quarter)</f>
        <v>1144580.2340562</v>
      </c>
      <c r="AO19" s="22" t="n">
        <f aca="false">((AO12*hosting_cost_monthly)*months_per_quarter)</f>
        <v>1184897.02469395</v>
      </c>
    </row>
    <row r="20" customFormat="false" ht="15" hidden="false" customHeight="false" outlineLevel="0" collapsed="false">
      <c r="A20" s="2" t="s">
        <v>257</v>
      </c>
      <c r="B20" s="2" t="s">
        <v>258</v>
      </c>
      <c r="C20" s="2" t="s">
        <v>91</v>
      </c>
      <c r="D20" s="2" t="s">
        <v>54</v>
      </c>
      <c r="E20" s="2" t="s">
        <v>55</v>
      </c>
      <c r="F20" s="17" t="s">
        <v>259</v>
      </c>
      <c r="G20" s="2" t="s">
        <v>260</v>
      </c>
      <c r="H20" s="2"/>
      <c r="J20" s="22" t="n">
        <f aca="false">(J18*support_cost_pct)</f>
        <v>148320</v>
      </c>
      <c r="K20" s="22" t="n">
        <f aca="false">(K18*support_cost_pct)</f>
        <v>159219.44742667</v>
      </c>
      <c r="L20" s="22" t="n">
        <f aca="false">(L18*support_cost_pct)</f>
        <v>172252.378733944</v>
      </c>
      <c r="M20" s="22" t="n">
        <f aca="false">(M18*support_cost_pct)</f>
        <v>187384.742421011</v>
      </c>
      <c r="N20" s="22" t="n">
        <f aca="false">(N18*support_cost_pct)</f>
        <v>204769.404965376</v>
      </c>
      <c r="O20" s="22" t="n">
        <f aca="false">(O18*support_cost_pct)</f>
        <v>224185.184081355</v>
      </c>
      <c r="P20" s="22" t="n">
        <f aca="false">(P18*support_cost_pct)</f>
        <v>245602.611207235</v>
      </c>
      <c r="Q20" s="22" t="n">
        <f aca="false">(Q18*support_cost_pct)</f>
        <v>269183.15307984</v>
      </c>
      <c r="R20" s="22" t="n">
        <f aca="false">(R18*support_cost_pct)</f>
        <v>294705.675693686</v>
      </c>
      <c r="S20" s="22" t="n">
        <f aca="false">(S18*support_cost_pct)</f>
        <v>322144.894810005</v>
      </c>
      <c r="T20" s="22" t="n">
        <f aca="false">(T18*support_cost_pct)</f>
        <v>351670.585415736</v>
      </c>
      <c r="U20" s="22" t="n">
        <f aca="false">(U18*support_cost_pct)</f>
        <v>383061.194077874</v>
      </c>
      <c r="V20" s="22" t="n">
        <f aca="false">(V18*support_cost_pct)</f>
        <v>416295.261371628</v>
      </c>
      <c r="W20" s="22" t="n">
        <f aca="false">(W18*support_cost_pct)</f>
        <v>451550.618443695</v>
      </c>
      <c r="X20" s="22" t="n">
        <f aca="false">(X18*support_cost_pct)</f>
        <v>488604.859179896</v>
      </c>
      <c r="Y20" s="22" t="n">
        <f aca="false">(Y18*support_cost_pct)</f>
        <v>527440.02486395</v>
      </c>
      <c r="Z20" s="22" t="n">
        <f aca="false">(Z18*support_cost_pct)</f>
        <v>568241.787095943</v>
      </c>
      <c r="AA20" s="22" t="n">
        <f aca="false">(AA18*support_cost_pct)</f>
        <v>610378.296324989</v>
      </c>
      <c r="AB20" s="22" t="n">
        <f aca="false">(AB18*support_cost_pct)</f>
        <v>653225.344432285</v>
      </c>
      <c r="AC20" s="22" t="n">
        <f aca="false">(AC18*support_cost_pct)</f>
        <v>696787.315217131</v>
      </c>
      <c r="AD20" s="22" t="n">
        <f aca="false">(AD18*support_cost_pct)</f>
        <v>741068.744624422</v>
      </c>
      <c r="AE20" s="22" t="n">
        <f aca="false">(AE18*support_cost_pct)</f>
        <v>786074.318610871</v>
      </c>
      <c r="AF20" s="22" t="n">
        <f aca="false">(AF18*support_cost_pct)</f>
        <v>831808.871107655</v>
      </c>
      <c r="AG20" s="22" t="n">
        <f aca="false">(AG18*support_cost_pct)</f>
        <v>878277.382076528</v>
      </c>
      <c r="AH20" s="22" t="n">
        <f aca="false">(AH18*support_cost_pct)</f>
        <v>925484.975656571</v>
      </c>
      <c r="AI20" s="22" t="n">
        <f aca="false">(AI18*support_cost_pct)</f>
        <v>973436.918398835</v>
      </c>
      <c r="AJ20" s="22" t="n">
        <f aca="false">(AJ18*support_cost_pct)</f>
        <v>1022138.61758622</v>
      </c>
      <c r="AK20" s="22" t="n">
        <f aca="false">(AK18*support_cost_pct)</f>
        <v>1071595.61963604</v>
      </c>
      <c r="AL20" s="22" t="n">
        <f aca="false">(AL18*support_cost_pct)</f>
        <v>1121813.60858277</v>
      </c>
      <c r="AM20" s="22" t="n">
        <f aca="false">(AM18*support_cost_pct)</f>
        <v>1172798.40463858</v>
      </c>
      <c r="AN20" s="22" t="n">
        <f aca="false">(AN18*support_cost_pct)</f>
        <v>1224555.96282944</v>
      </c>
      <c r="AO20" s="22" t="n">
        <f aca="false">(AO18*support_cost_pct)</f>
        <v>1277092.37170442</v>
      </c>
    </row>
    <row r="21" customFormat="false" ht="15" hidden="false" customHeight="false" outlineLevel="0" collapsed="false">
      <c r="A21" s="2" t="s">
        <v>261</v>
      </c>
      <c r="B21" s="2" t="s">
        <v>262</v>
      </c>
      <c r="C21" s="2" t="s">
        <v>91</v>
      </c>
      <c r="D21" s="2" t="s">
        <v>54</v>
      </c>
      <c r="E21" s="2" t="s">
        <v>55</v>
      </c>
      <c r="F21" s="17" t="s">
        <v>263</v>
      </c>
      <c r="G21" s="2" t="s">
        <v>264</v>
      </c>
      <c r="H21" s="2"/>
      <c r="J21" s="22" t="n">
        <f aca="false">(J18*payment_fees_pct)</f>
        <v>61800</v>
      </c>
      <c r="K21" s="22" t="n">
        <f aca="false">(K18*payment_fees_pct)</f>
        <v>66341.436427779</v>
      </c>
      <c r="L21" s="22" t="n">
        <f aca="false">(L18*payment_fees_pct)</f>
        <v>71771.8244724769</v>
      </c>
      <c r="M21" s="22" t="n">
        <f aca="false">(M18*payment_fees_pct)</f>
        <v>78076.9760087547</v>
      </c>
      <c r="N21" s="22" t="n">
        <f aca="false">(N18*payment_fees_pct)</f>
        <v>85320.58540224</v>
      </c>
      <c r="O21" s="22" t="n">
        <f aca="false">(O18*payment_fees_pct)</f>
        <v>93410.4933672313</v>
      </c>
      <c r="P21" s="22" t="n">
        <f aca="false">(P18*payment_fees_pct)</f>
        <v>102334.421336348</v>
      </c>
      <c r="Q21" s="22" t="n">
        <f aca="false">(Q18*payment_fees_pct)</f>
        <v>112159.6471166</v>
      </c>
      <c r="R21" s="22" t="n">
        <f aca="false">(R18*payment_fees_pct)</f>
        <v>122794.031539036</v>
      </c>
      <c r="S21" s="22" t="n">
        <f aca="false">(S18*payment_fees_pct)</f>
        <v>134227.039504169</v>
      </c>
      <c r="T21" s="22" t="n">
        <f aca="false">(T18*payment_fees_pct)</f>
        <v>146529.41058989</v>
      </c>
      <c r="U21" s="22" t="n">
        <f aca="false">(U18*payment_fees_pct)</f>
        <v>159608.830865781</v>
      </c>
      <c r="V21" s="22" t="n">
        <f aca="false">(V18*payment_fees_pct)</f>
        <v>173456.358904845</v>
      </c>
      <c r="W21" s="22" t="n">
        <f aca="false">(W18*payment_fees_pct)</f>
        <v>188146.091018206</v>
      </c>
      <c r="X21" s="22" t="n">
        <f aca="false">(X18*payment_fees_pct)</f>
        <v>203585.357991623</v>
      </c>
      <c r="Y21" s="22" t="n">
        <f aca="false">(Y18*payment_fees_pct)</f>
        <v>219766.677026646</v>
      </c>
      <c r="Z21" s="22" t="n">
        <f aca="false">(Z18*payment_fees_pct)</f>
        <v>236767.411289976</v>
      </c>
      <c r="AA21" s="22" t="n">
        <f aca="false">(AA18*payment_fees_pct)</f>
        <v>254324.290135412</v>
      </c>
      <c r="AB21" s="22" t="n">
        <f aca="false">(AB18*payment_fees_pct)</f>
        <v>272177.226846785</v>
      </c>
      <c r="AC21" s="22" t="n">
        <f aca="false">(AC18*payment_fees_pct)</f>
        <v>290328.048007138</v>
      </c>
      <c r="AD21" s="22" t="n">
        <f aca="false">(AD18*payment_fees_pct)</f>
        <v>308778.643593509</v>
      </c>
      <c r="AE21" s="22" t="n">
        <f aca="false">(AE18*payment_fees_pct)</f>
        <v>327530.966087863</v>
      </c>
      <c r="AF21" s="22" t="n">
        <f aca="false">(AF18*payment_fees_pct)</f>
        <v>346587.02962819</v>
      </c>
      <c r="AG21" s="22" t="n">
        <f aca="false">(AG18*payment_fees_pct)</f>
        <v>365948.909198553</v>
      </c>
      <c r="AH21" s="22" t="n">
        <f aca="false">(AH18*payment_fees_pct)</f>
        <v>385618.739856905</v>
      </c>
      <c r="AI21" s="22" t="n">
        <f aca="false">(AI18*payment_fees_pct)</f>
        <v>405598.715999515</v>
      </c>
      <c r="AJ21" s="22" t="n">
        <f aca="false">(AJ18*payment_fees_pct)</f>
        <v>425891.090660927</v>
      </c>
      <c r="AK21" s="22" t="n">
        <f aca="false">(AK18*payment_fees_pct)</f>
        <v>446498.174848352</v>
      </c>
      <c r="AL21" s="22" t="n">
        <f aca="false">(AL18*payment_fees_pct)</f>
        <v>467422.336909486</v>
      </c>
      <c r="AM21" s="22" t="n">
        <f aca="false">(AM18*payment_fees_pct)</f>
        <v>488666.00193274</v>
      </c>
      <c r="AN21" s="22" t="n">
        <f aca="false">(AN18*payment_fees_pct)</f>
        <v>510231.651178934</v>
      </c>
      <c r="AO21" s="22" t="n">
        <f aca="false">(AO18*payment_fees_pct)</f>
        <v>532121.821543507</v>
      </c>
    </row>
    <row r="22" customFormat="false" ht="15" hidden="false" customHeight="false" outlineLevel="0" collapsed="false">
      <c r="A22" s="2" t="s">
        <v>265</v>
      </c>
      <c r="B22" s="2" t="s">
        <v>91</v>
      </c>
      <c r="C22" s="2" t="s">
        <v>91</v>
      </c>
      <c r="D22" s="2" t="s">
        <v>54</v>
      </c>
      <c r="E22" s="2" t="s">
        <v>55</v>
      </c>
      <c r="F22" s="17" t="s">
        <v>266</v>
      </c>
      <c r="G22" s="2" t="s">
        <v>267</v>
      </c>
      <c r="H22" s="2"/>
      <c r="J22" s="22" t="n">
        <f aca="false">SUM(J19,J20,J21)</f>
        <v>383160</v>
      </c>
      <c r="K22" s="22" t="n">
        <f aca="false">SUM(K19,K20,K21)</f>
        <v>409949.283854449</v>
      </c>
      <c r="L22" s="22" t="n">
        <f aca="false">SUM(L19,L20,L21)</f>
        <v>442037.067206421</v>
      </c>
      <c r="M22" s="22" t="n">
        <f aca="false">SUM(M19,M20,M21)</f>
        <v>479284.067869766</v>
      </c>
      <c r="N22" s="22" t="n">
        <f aca="false">SUM(N19,N20,N21)</f>
        <v>522029.445830016</v>
      </c>
      <c r="O22" s="22" t="n">
        <f aca="false">SUM(O19,O20,O21)</f>
        <v>569657.55469249</v>
      </c>
      <c r="P22" s="22" t="n">
        <f aca="false">SUM(P19,P20,P21)</f>
        <v>622046.434697731</v>
      </c>
      <c r="Q22" s="22" t="n">
        <f aca="false">SUM(Q19,Q20,Q21)</f>
        <v>679557.826264422</v>
      </c>
      <c r="R22" s="22" t="n">
        <f aca="false">SUM(R19,R20,R21)</f>
        <v>741586.132257985</v>
      </c>
      <c r="S22" s="22" t="n">
        <f aca="false">SUM(S19,S20,S21)</f>
        <v>808024.902338426</v>
      </c>
      <c r="T22" s="22" t="n">
        <f aca="false">SUM(T19,T20,T21)</f>
        <v>879256.845308908</v>
      </c>
      <c r="U22" s="22" t="n">
        <f aca="false">SUM(U19,U20,U21)</f>
        <v>954684.600274805</v>
      </c>
      <c r="V22" s="22" t="n">
        <f aca="false">SUM(V19,V20,V21)</f>
        <v>1034215.61259438</v>
      </c>
      <c r="W22" s="22" t="n">
        <f aca="false">SUM(W19,W20,W21)</f>
        <v>1118252.14208709</v>
      </c>
      <c r="X22" s="22" t="n">
        <f aca="false">SUM(X19,X20,X21)</f>
        <v>1206203.4324917</v>
      </c>
      <c r="Y22" s="22" t="n">
        <f aca="false">SUM(Y19,Y20,Y21)</f>
        <v>1297989.38859797</v>
      </c>
      <c r="Z22" s="22" t="n">
        <f aca="false">SUM(Z19,Z20,Z21)</f>
        <v>1394030.577625</v>
      </c>
      <c r="AA22" s="22" t="n">
        <f aca="false">SUM(AA19,AA20,AA21)</f>
        <v>1492743.11052992</v>
      </c>
      <c r="AB22" s="22" t="n">
        <f aca="false">SUM(AB19,AB20,AB21)</f>
        <v>1592581.4743858</v>
      </c>
      <c r="AC22" s="22" t="n">
        <f aca="false">SUM(AC19,AC20,AC21)</f>
        <v>1693547.11020673</v>
      </c>
      <c r="AD22" s="22" t="n">
        <f aca="false">SUM(AD19,AD20,AD21)</f>
        <v>1795641.8653211</v>
      </c>
      <c r="AE22" s="22" t="n">
        <f aca="false">SUM(AE19,AE20,AE21)</f>
        <v>1898867.98271777</v>
      </c>
      <c r="AF22" s="22" t="n">
        <f aca="false">SUM(AF19,AF20,AF21)</f>
        <v>2003228.09083412</v>
      </c>
      <c r="AG22" s="22" t="n">
        <f aca="false">SUM(AG19,AG20,AG21)</f>
        <v>2108725.19376943</v>
      </c>
      <c r="AH22" s="22" t="n">
        <f aca="false">SUM(AH19,AH20,AH21)</f>
        <v>2215362.66190805</v>
      </c>
      <c r="AI22" s="22" t="n">
        <f aca="false">SUM(AI19,AI20,AI21)</f>
        <v>2323144.22293714</v>
      </c>
      <c r="AJ22" s="22" t="n">
        <f aca="false">SUM(AJ19,AJ20,AJ21)</f>
        <v>2432073.95324439</v>
      </c>
      <c r="AK22" s="22" t="n">
        <f aca="false">SUM(AK19,AK20,AK21)</f>
        <v>2542156.26968175</v>
      </c>
      <c r="AL22" s="22" t="n">
        <f aca="false">SUM(AL19,AL20,AL21)</f>
        <v>2653395.92168171</v>
      </c>
      <c r="AM22" s="22" t="n">
        <f aca="false">SUM(AM19,AM20,AM21)</f>
        <v>2765797.98371319</v>
      </c>
      <c r="AN22" s="22" t="n">
        <f aca="false">SUM(AN19,AN20,AN21)</f>
        <v>2879367.84806458</v>
      </c>
      <c r="AO22" s="22" t="n">
        <f aca="false">SUM(AO19,AO20,AO21)</f>
        <v>2994111.21794188</v>
      </c>
    </row>
    <row r="23" customFormat="false" ht="15" hidden="false" customHeight="false" outlineLevel="0" collapsed="false">
      <c r="A23" s="2" t="s">
        <v>268</v>
      </c>
      <c r="B23" s="2" t="s">
        <v>269</v>
      </c>
      <c r="C23" s="2" t="s">
        <v>91</v>
      </c>
      <c r="D23" s="2" t="s">
        <v>54</v>
      </c>
      <c r="E23" s="2" t="s">
        <v>55</v>
      </c>
      <c r="F23" s="17" t="s">
        <v>270</v>
      </c>
      <c r="G23" s="2" t="s">
        <v>271</v>
      </c>
      <c r="H23" s="2"/>
      <c r="J23" s="22" t="n">
        <f aca="false">(J18-J22)</f>
        <v>2088840</v>
      </c>
      <c r="K23" s="22" t="n">
        <f aca="false">(K18-K22)</f>
        <v>2243708.17325671</v>
      </c>
      <c r="L23" s="22" t="n">
        <f aca="false">(L18-L22)</f>
        <v>2428835.91169265</v>
      </c>
      <c r="M23" s="22" t="n">
        <f aca="false">(M18-M22)</f>
        <v>2643794.97248042</v>
      </c>
      <c r="N23" s="22" t="n">
        <f aca="false">(N18-N22)</f>
        <v>2890793.97025958</v>
      </c>
      <c r="O23" s="22" t="n">
        <f aca="false">(O18-O22)</f>
        <v>3166762.17999676</v>
      </c>
      <c r="P23" s="22" t="n">
        <f aca="false">(P18-P22)</f>
        <v>3471330.41875619</v>
      </c>
      <c r="Q23" s="22" t="n">
        <f aca="false">(Q18-Q22)</f>
        <v>3806828.05839959</v>
      </c>
      <c r="R23" s="22" t="n">
        <f aca="false">(R18-R22)</f>
        <v>4170175.12930346</v>
      </c>
      <c r="S23" s="22" t="n">
        <f aca="false">(S18-S22)</f>
        <v>4561056.67782833</v>
      </c>
      <c r="T23" s="22" t="n">
        <f aca="false">(T18-T22)</f>
        <v>4981919.57828669</v>
      </c>
      <c r="U23" s="22" t="n">
        <f aca="false">(U18-U22)</f>
        <v>5429668.63435642</v>
      </c>
      <c r="V23" s="22" t="n">
        <f aca="false">(V18-V22)</f>
        <v>5904038.74359943</v>
      </c>
      <c r="W23" s="22" t="n">
        <f aca="false">(W18-W22)</f>
        <v>6407591.49864116</v>
      </c>
      <c r="X23" s="22" t="n">
        <f aca="false">(X18-X22)</f>
        <v>6937210.88717323</v>
      </c>
      <c r="Y23" s="22" t="n">
        <f aca="false">(Y18-Y22)</f>
        <v>7492677.69246787</v>
      </c>
      <c r="Z23" s="22" t="n">
        <f aca="false">(Z18-Z22)</f>
        <v>8076665.87397405</v>
      </c>
      <c r="AA23" s="22" t="n">
        <f aca="false">(AA18-AA22)</f>
        <v>8680228.49488657</v>
      </c>
      <c r="AB23" s="22" t="n">
        <f aca="false">(AB18-AB22)</f>
        <v>9294507.5994856</v>
      </c>
      <c r="AC23" s="22" t="n">
        <f aca="false">(AC18-AC22)</f>
        <v>9919574.81007878</v>
      </c>
      <c r="AD23" s="22" t="n">
        <f aca="false">(AD18-AD22)</f>
        <v>10555503.8784193</v>
      </c>
      <c r="AE23" s="22" t="n">
        <f aca="false">(AE18-AE22)</f>
        <v>11202370.6607967</v>
      </c>
      <c r="AF23" s="22" t="n">
        <f aca="false">(AF18-AF22)</f>
        <v>11860253.0942935</v>
      </c>
      <c r="AG23" s="22" t="n">
        <f aca="false">(AG18-AG22)</f>
        <v>12529231.1741727</v>
      </c>
      <c r="AH23" s="22" t="n">
        <f aca="false">(AH18-AH22)</f>
        <v>13209386.9323681</v>
      </c>
      <c r="AI23" s="22" t="n">
        <f aca="false">(AI18-AI22)</f>
        <v>13900804.4170434</v>
      </c>
      <c r="AJ23" s="22" t="n">
        <f aca="false">(AJ18-AJ22)</f>
        <v>14603569.6731927</v>
      </c>
      <c r="AK23" s="22" t="n">
        <f aca="false">(AK18-AK22)</f>
        <v>15317770.7242523</v>
      </c>
      <c r="AL23" s="22" t="n">
        <f aca="false">(AL18-AL22)</f>
        <v>16043497.5546977</v>
      </c>
      <c r="AM23" s="22" t="n">
        <f aca="false">(AM18-AM22)</f>
        <v>16780842.0935964</v>
      </c>
      <c r="AN23" s="22" t="n">
        <f aca="false">(AN18-AN22)</f>
        <v>17529898.1990928</v>
      </c>
      <c r="AO23" s="22" t="n">
        <f aca="false">(AO18-AO22)</f>
        <v>18290761.6437984</v>
      </c>
    </row>
    <row r="24" customFormat="false" ht="15" hidden="false" customHeight="false" outlineLevel="0" collapsed="false">
      <c r="A24" s="2" t="s">
        <v>272</v>
      </c>
      <c r="B24" s="2" t="s">
        <v>273</v>
      </c>
      <c r="C24" s="2" t="s">
        <v>91</v>
      </c>
      <c r="D24" s="2" t="s">
        <v>274</v>
      </c>
      <c r="E24" s="2" t="s">
        <v>75</v>
      </c>
      <c r="F24" s="17" t="s">
        <v>275</v>
      </c>
      <c r="G24" s="2" t="s">
        <v>276</v>
      </c>
      <c r="H24" s="2" t="s">
        <v>277</v>
      </c>
      <c r="J24" s="21" t="n">
        <f aca="false">(J23/J18)</f>
        <v>0.845</v>
      </c>
      <c r="K24" s="21" t="n">
        <f aca="false">(K23/K18)</f>
        <v>0.84551537246984</v>
      </c>
      <c r="L24" s="21" t="n">
        <f aca="false">(L23/L18)</f>
        <v>0.846026950528499</v>
      </c>
      <c r="M24" s="21" t="n">
        <f aca="false">(M23/M18)</f>
        <v>0.846534762112193</v>
      </c>
      <c r="N24" s="21" t="n">
        <f aca="false">(N23/N18)</f>
        <v>0.847038834951456</v>
      </c>
      <c r="O24" s="21" t="n">
        <f aca="false">(O23/O18)</f>
        <v>0.84753919657266</v>
      </c>
      <c r="P24" s="21" t="n">
        <f aca="false">(P23/P18)</f>
        <v>0.848035874299514</v>
      </c>
      <c r="Q24" s="21" t="n">
        <f aca="false">(Q23/Q18)</f>
        <v>0.848528895254556</v>
      </c>
      <c r="R24" s="21" t="n">
        <f aca="false">(R23/R18)</f>
        <v>0.849018286360637</v>
      </c>
      <c r="S24" s="21" t="n">
        <f aca="false">(S23/S18)</f>
        <v>0.849504074342389</v>
      </c>
      <c r="T24" s="21" t="n">
        <f aca="false">(T23/T18)</f>
        <v>0.849986285727684</v>
      </c>
      <c r="U24" s="21" t="n">
        <f aca="false">(U23/U18)</f>
        <v>0.850464946849084</v>
      </c>
      <c r="V24" s="21" t="n">
        <f aca="false">(V23/V18)</f>
        <v>0.850940083845279</v>
      </c>
      <c r="W24" s="21" t="n">
        <f aca="false">(W23/W18)</f>
        <v>0.851411722662513</v>
      </c>
      <c r="X24" s="21" t="n">
        <f aca="false">(X23/X18)</f>
        <v>0.851879889056003</v>
      </c>
      <c r="Y24" s="21" t="n">
        <f aca="false">(Y23/Y18)</f>
        <v>0.852344608591343</v>
      </c>
      <c r="Z24" s="21" t="n">
        <f aca="false">(Z23/Z18)</f>
        <v>0.852805906645902</v>
      </c>
      <c r="AA24" s="21" t="n">
        <f aca="false">(AA23/AA18)</f>
        <v>0.853263808410207</v>
      </c>
      <c r="AB24" s="21" t="n">
        <f aca="false">(AB23/AB18)</f>
        <v>0.853718338889324</v>
      </c>
      <c r="AC24" s="21" t="n">
        <f aca="false">(AC23/AC18)</f>
        <v>0.854169522904217</v>
      </c>
      <c r="AD24" s="21" t="n">
        <f aca="false">(AD23/AD18)</f>
        <v>0.854617385093108</v>
      </c>
      <c r="AE24" s="21" t="n">
        <f aca="false">(AE23/AE18)</f>
        <v>0.855061949912822</v>
      </c>
      <c r="AF24" s="21" t="n">
        <f aca="false">(AF23/AF18)</f>
        <v>0.85550324164012</v>
      </c>
      <c r="AG24" s="21" t="n">
        <f aca="false">(AG23/AG18)</f>
        <v>0.855941284373026</v>
      </c>
      <c r="AH24" s="21" t="n">
        <f aca="false">(AH23/AH18)</f>
        <v>0.856376102032144</v>
      </c>
      <c r="AI24" s="21" t="n">
        <f aca="false">(AI23/AI18)</f>
        <v>0.856807718361964</v>
      </c>
      <c r="AJ24" s="21" t="n">
        <f aca="false">(AJ23/AJ18)</f>
        <v>0.857236156932155</v>
      </c>
      <c r="AK24" s="21" t="n">
        <f aca="false">(AK23/AK18)</f>
        <v>0.85766144113886</v>
      </c>
      <c r="AL24" s="21" t="n">
        <f aca="false">(AL23/AL18)</f>
        <v>0.858083594205965</v>
      </c>
      <c r="AM24" s="21" t="n">
        <f aca="false">(AM23/AM18)</f>
        <v>0.858502639186372</v>
      </c>
      <c r="AN24" s="21" t="n">
        <f aca="false">(AN23/AN18)</f>
        <v>0.858918598963258</v>
      </c>
      <c r="AO24" s="21" t="n">
        <f aca="false">(AO23/AO18)</f>
        <v>0.859331496251321</v>
      </c>
    </row>
    <row r="25" customFormat="false" ht="15" hidden="false" customHeight="false" outlineLevel="0" collapsed="false">
      <c r="A25" s="2" t="s">
        <v>278</v>
      </c>
      <c r="B25" s="2" t="s">
        <v>279</v>
      </c>
      <c r="C25" s="2" t="s">
        <v>100</v>
      </c>
      <c r="D25" s="2" t="s">
        <v>54</v>
      </c>
      <c r="E25" s="2" t="s">
        <v>55</v>
      </c>
      <c r="F25" s="17" t="s">
        <v>280</v>
      </c>
      <c r="G25" s="2" t="s">
        <v>281</v>
      </c>
      <c r="H25" s="2"/>
      <c r="J25" s="22" t="n">
        <f aca="false">(Driver_Series!J4*sales_rep_cost_q)</f>
        <v>270000</v>
      </c>
      <c r="K25" s="22" t="n">
        <f aca="false">(Driver_Series!K4*sales_rep_cost_q)</f>
        <v>270000</v>
      </c>
      <c r="L25" s="22" t="n">
        <f aca="false">(Driver_Series!L4*sales_rep_cost_q)</f>
        <v>315000</v>
      </c>
      <c r="M25" s="22" t="n">
        <f aca="false">(Driver_Series!M4*sales_rep_cost_q)</f>
        <v>360000</v>
      </c>
      <c r="N25" s="22" t="n">
        <f aca="false">(Driver_Series!N4*sales_rep_cost_q)</f>
        <v>405000</v>
      </c>
      <c r="O25" s="22" t="n">
        <f aca="false">(Driver_Series!O4*sales_rep_cost_q)</f>
        <v>450000</v>
      </c>
      <c r="P25" s="22" t="n">
        <f aca="false">(Driver_Series!P4*sales_rep_cost_q)</f>
        <v>495000</v>
      </c>
      <c r="Q25" s="22" t="n">
        <f aca="false">(Driver_Series!Q4*sales_rep_cost_q)</f>
        <v>540000</v>
      </c>
      <c r="R25" s="22" t="n">
        <f aca="false">(Driver_Series!R4*sales_rep_cost_q)</f>
        <v>585000</v>
      </c>
      <c r="S25" s="22" t="n">
        <f aca="false">(Driver_Series!S4*sales_rep_cost_q)</f>
        <v>630000</v>
      </c>
      <c r="T25" s="22" t="n">
        <f aca="false">(Driver_Series!T4*sales_rep_cost_q)</f>
        <v>675000</v>
      </c>
      <c r="U25" s="22" t="n">
        <f aca="false">(Driver_Series!U4*sales_rep_cost_q)</f>
        <v>720000</v>
      </c>
      <c r="V25" s="22" t="n">
        <f aca="false">(Driver_Series!V4*sales_rep_cost_q)</f>
        <v>765000</v>
      </c>
      <c r="W25" s="22" t="n">
        <f aca="false">(Driver_Series!W4*sales_rep_cost_q)</f>
        <v>810000</v>
      </c>
      <c r="X25" s="22" t="n">
        <f aca="false">(Driver_Series!X4*sales_rep_cost_q)</f>
        <v>855000</v>
      </c>
      <c r="Y25" s="22" t="n">
        <f aca="false">(Driver_Series!Y4*sales_rep_cost_q)</f>
        <v>900000</v>
      </c>
      <c r="Z25" s="22" t="n">
        <f aca="false">(Driver_Series!Z4*sales_rep_cost_q)</f>
        <v>945000</v>
      </c>
      <c r="AA25" s="22" t="n">
        <f aca="false">(Driver_Series!AA4*sales_rep_cost_q)</f>
        <v>945000</v>
      </c>
      <c r="AB25" s="22" t="n">
        <f aca="false">(Driver_Series!AB4*sales_rep_cost_q)</f>
        <v>990000</v>
      </c>
      <c r="AC25" s="22" t="n">
        <f aca="false">(Driver_Series!AC4*sales_rep_cost_q)</f>
        <v>990000</v>
      </c>
      <c r="AD25" s="22" t="n">
        <f aca="false">(Driver_Series!AD4*sales_rep_cost_q)</f>
        <v>1035000</v>
      </c>
      <c r="AE25" s="22" t="n">
        <f aca="false">(Driver_Series!AE4*sales_rep_cost_q)</f>
        <v>1035000</v>
      </c>
      <c r="AF25" s="22" t="n">
        <f aca="false">(Driver_Series!AF4*sales_rep_cost_q)</f>
        <v>1080000</v>
      </c>
      <c r="AG25" s="22" t="n">
        <f aca="false">(Driver_Series!AG4*sales_rep_cost_q)</f>
        <v>1080000</v>
      </c>
      <c r="AH25" s="22" t="n">
        <f aca="false">(Driver_Series!AH4*sales_rep_cost_q)</f>
        <v>1125000</v>
      </c>
      <c r="AI25" s="22" t="n">
        <f aca="false">(Driver_Series!AI4*sales_rep_cost_q)</f>
        <v>1125000</v>
      </c>
      <c r="AJ25" s="22" t="n">
        <f aca="false">(Driver_Series!AJ4*sales_rep_cost_q)</f>
        <v>1170000</v>
      </c>
      <c r="AK25" s="22" t="n">
        <f aca="false">(Driver_Series!AK4*sales_rep_cost_q)</f>
        <v>1170000</v>
      </c>
      <c r="AL25" s="22" t="n">
        <f aca="false">(Driver_Series!AL4*sales_rep_cost_q)</f>
        <v>1215000</v>
      </c>
      <c r="AM25" s="22" t="n">
        <f aca="false">(Driver_Series!AM4*sales_rep_cost_q)</f>
        <v>1215000</v>
      </c>
      <c r="AN25" s="22" t="n">
        <f aca="false">(Driver_Series!AN4*sales_rep_cost_q)</f>
        <v>1260000</v>
      </c>
      <c r="AO25" s="22" t="n">
        <f aca="false">(Driver_Series!AO4*sales_rep_cost_q)</f>
        <v>1260000</v>
      </c>
    </row>
    <row r="26" customFormat="false" ht="15" hidden="false" customHeight="false" outlineLevel="0" collapsed="false">
      <c r="A26" s="2" t="s">
        <v>282</v>
      </c>
      <c r="B26" s="2" t="s">
        <v>283</v>
      </c>
      <c r="C26" s="2" t="s">
        <v>100</v>
      </c>
      <c r="D26" s="2" t="s">
        <v>54</v>
      </c>
      <c r="E26" s="2" t="s">
        <v>55</v>
      </c>
      <c r="F26" s="17" t="s">
        <v>284</v>
      </c>
      <c r="G26" s="2" t="s">
        <v>285</v>
      </c>
      <c r="H26" s="2"/>
      <c r="J26" s="22" t="n">
        <f aca="false">(Driver_Series!J3+J25)</f>
        <v>870000</v>
      </c>
      <c r="K26" s="22" t="n">
        <f aca="false">(Driver_Series!K3+K25)</f>
        <v>970000</v>
      </c>
      <c r="L26" s="22" t="n">
        <f aca="false">(Driver_Series!L3+L25)</f>
        <v>1115000</v>
      </c>
      <c r="M26" s="22" t="n">
        <f aca="false">(Driver_Series!M3+M25)</f>
        <v>1260000</v>
      </c>
      <c r="N26" s="22" t="n">
        <f aca="false">(Driver_Series!N3+N25)</f>
        <v>1405000</v>
      </c>
      <c r="O26" s="22" t="n">
        <f aca="false">(Driver_Series!O3+O25)</f>
        <v>1550000</v>
      </c>
      <c r="P26" s="22" t="n">
        <f aca="false">(Driver_Series!P3+P25)</f>
        <v>1695000</v>
      </c>
      <c r="Q26" s="22" t="n">
        <f aca="false">(Driver_Series!Q3+Q25)</f>
        <v>1840000</v>
      </c>
      <c r="R26" s="22" t="n">
        <f aca="false">(Driver_Series!R3+R25)</f>
        <v>1985000</v>
      </c>
      <c r="S26" s="22" t="n">
        <f aca="false">(Driver_Series!S3+S25)</f>
        <v>2130000</v>
      </c>
      <c r="T26" s="22" t="n">
        <f aca="false">(Driver_Series!T3+T25)</f>
        <v>2275000</v>
      </c>
      <c r="U26" s="22" t="n">
        <f aca="false">(Driver_Series!U3+U25)</f>
        <v>2420000</v>
      </c>
      <c r="V26" s="22" t="n">
        <f aca="false">(Driver_Series!V3+V25)</f>
        <v>2565000</v>
      </c>
      <c r="W26" s="22" t="n">
        <f aca="false">(Driver_Series!W3+W25)</f>
        <v>2710000</v>
      </c>
      <c r="X26" s="22" t="n">
        <f aca="false">(Driver_Series!X3+X25)</f>
        <v>2855000</v>
      </c>
      <c r="Y26" s="22" t="n">
        <f aca="false">(Driver_Series!Y3+Y25)</f>
        <v>3000000</v>
      </c>
      <c r="Z26" s="22" t="n">
        <f aca="false">(Driver_Series!Z3+Z25)</f>
        <v>3145000</v>
      </c>
      <c r="AA26" s="22" t="n">
        <f aca="false">(Driver_Series!AA3+AA25)</f>
        <v>3205000</v>
      </c>
      <c r="AB26" s="22" t="n">
        <f aca="false">(Driver_Series!AB3+AB25)</f>
        <v>3310000</v>
      </c>
      <c r="AC26" s="22" t="n">
        <f aca="false">(Driver_Series!AC3+AC25)</f>
        <v>3370000</v>
      </c>
      <c r="AD26" s="22" t="n">
        <f aca="false">(Driver_Series!AD3+AD25)</f>
        <v>3475000</v>
      </c>
      <c r="AE26" s="22" t="n">
        <f aca="false">(Driver_Series!AE3+AE25)</f>
        <v>3535000</v>
      </c>
      <c r="AF26" s="22" t="n">
        <f aca="false">(Driver_Series!AF3+AF25)</f>
        <v>3640000</v>
      </c>
      <c r="AG26" s="22" t="n">
        <f aca="false">(Driver_Series!AG3+AG25)</f>
        <v>3700000</v>
      </c>
      <c r="AH26" s="22" t="n">
        <f aca="false">(Driver_Series!AH3+AH25)</f>
        <v>3805000</v>
      </c>
      <c r="AI26" s="22" t="n">
        <f aca="false">(Driver_Series!AI3+AI25)</f>
        <v>3865000</v>
      </c>
      <c r="AJ26" s="22" t="n">
        <f aca="false">(Driver_Series!AJ3+AJ25)</f>
        <v>3970000</v>
      </c>
      <c r="AK26" s="22" t="n">
        <f aca="false">(Driver_Series!AK3+AK25)</f>
        <v>4030000</v>
      </c>
      <c r="AL26" s="22" t="n">
        <f aca="false">(Driver_Series!AL3+AL25)</f>
        <v>4135000</v>
      </c>
      <c r="AM26" s="22" t="n">
        <f aca="false">(Driver_Series!AM3+AM25)</f>
        <v>4195000</v>
      </c>
      <c r="AN26" s="22" t="n">
        <f aca="false">(Driver_Series!AN3+AN25)</f>
        <v>4300000</v>
      </c>
      <c r="AO26" s="22" t="n">
        <f aca="false">(Driver_Series!AO3+AO25)</f>
        <v>4360000</v>
      </c>
    </row>
    <row r="27" customFormat="false" ht="15" hidden="false" customHeight="false" outlineLevel="0" collapsed="false">
      <c r="A27" s="2" t="s">
        <v>286</v>
      </c>
      <c r="B27" s="2" t="s">
        <v>287</v>
      </c>
      <c r="C27" s="2" t="s">
        <v>100</v>
      </c>
      <c r="D27" s="2" t="s">
        <v>54</v>
      </c>
      <c r="E27" s="2" t="s">
        <v>55</v>
      </c>
      <c r="F27" s="17" t="s">
        <v>288</v>
      </c>
      <c r="G27" s="2" t="s">
        <v>289</v>
      </c>
      <c r="H27" s="2"/>
      <c r="J27" s="22" t="n">
        <f aca="false">(Driver_Series!J5*engineer_cost_q)</f>
        <v>1100000</v>
      </c>
      <c r="K27" s="22" t="n">
        <f aca="false">(Driver_Series!K5*engineer_cost_q)</f>
        <v>1155000</v>
      </c>
      <c r="L27" s="22" t="n">
        <f aca="false">(Driver_Series!L5*engineer_cost_q)</f>
        <v>1210000</v>
      </c>
      <c r="M27" s="22" t="n">
        <f aca="false">(Driver_Series!M5*engineer_cost_q)</f>
        <v>1320000</v>
      </c>
      <c r="N27" s="22" t="n">
        <f aca="false">(Driver_Series!N5*engineer_cost_q)</f>
        <v>1430000</v>
      </c>
      <c r="O27" s="22" t="n">
        <f aca="false">(Driver_Series!O5*engineer_cost_q)</f>
        <v>1540000</v>
      </c>
      <c r="P27" s="22" t="n">
        <f aca="false">(Driver_Series!P5*engineer_cost_q)</f>
        <v>1650000</v>
      </c>
      <c r="Q27" s="22" t="n">
        <f aca="false">(Driver_Series!Q5*engineer_cost_q)</f>
        <v>1760000</v>
      </c>
      <c r="R27" s="22" t="n">
        <f aca="false">(Driver_Series!R5*engineer_cost_q)</f>
        <v>1870000</v>
      </c>
      <c r="S27" s="22" t="n">
        <f aca="false">(Driver_Series!S5*engineer_cost_q)</f>
        <v>1980000</v>
      </c>
      <c r="T27" s="22" t="n">
        <f aca="false">(Driver_Series!T5*engineer_cost_q)</f>
        <v>2090000</v>
      </c>
      <c r="U27" s="22" t="n">
        <f aca="false">(Driver_Series!U5*engineer_cost_q)</f>
        <v>2200000</v>
      </c>
      <c r="V27" s="22" t="n">
        <f aca="false">(Driver_Series!V5*engineer_cost_q)</f>
        <v>2255000</v>
      </c>
      <c r="W27" s="22" t="n">
        <f aca="false">(Driver_Series!W5*engineer_cost_q)</f>
        <v>2310000</v>
      </c>
      <c r="X27" s="22" t="n">
        <f aca="false">(Driver_Series!X5*engineer_cost_q)</f>
        <v>2365000</v>
      </c>
      <c r="Y27" s="22" t="n">
        <f aca="false">(Driver_Series!Y5*engineer_cost_q)</f>
        <v>2420000</v>
      </c>
      <c r="Z27" s="22" t="n">
        <f aca="false">(Driver_Series!Z5*engineer_cost_q)</f>
        <v>2475000</v>
      </c>
      <c r="AA27" s="22" t="n">
        <f aca="false">(Driver_Series!AA5*engineer_cost_q)</f>
        <v>2530000</v>
      </c>
      <c r="AB27" s="22" t="n">
        <f aca="false">(Driver_Series!AB5*engineer_cost_q)</f>
        <v>2585000</v>
      </c>
      <c r="AC27" s="22" t="n">
        <f aca="false">(Driver_Series!AC5*engineer_cost_q)</f>
        <v>2640000</v>
      </c>
      <c r="AD27" s="22" t="n">
        <f aca="false">(Driver_Series!AD5*engineer_cost_q)</f>
        <v>2695000</v>
      </c>
      <c r="AE27" s="22" t="n">
        <f aca="false">(Driver_Series!AE5*engineer_cost_q)</f>
        <v>2750000</v>
      </c>
      <c r="AF27" s="22" t="n">
        <f aca="false">(Driver_Series!AF5*engineer_cost_q)</f>
        <v>2805000</v>
      </c>
      <c r="AG27" s="22" t="n">
        <f aca="false">(Driver_Series!AG5*engineer_cost_q)</f>
        <v>2860000</v>
      </c>
      <c r="AH27" s="22" t="n">
        <f aca="false">(Driver_Series!AH5*engineer_cost_q)</f>
        <v>2915000</v>
      </c>
      <c r="AI27" s="22" t="n">
        <f aca="false">(Driver_Series!AI5*engineer_cost_q)</f>
        <v>2970000</v>
      </c>
      <c r="AJ27" s="22" t="n">
        <f aca="false">(Driver_Series!AJ5*engineer_cost_q)</f>
        <v>3025000</v>
      </c>
      <c r="AK27" s="22" t="n">
        <f aca="false">(Driver_Series!AK5*engineer_cost_q)</f>
        <v>3080000</v>
      </c>
      <c r="AL27" s="22" t="n">
        <f aca="false">(Driver_Series!AL5*engineer_cost_q)</f>
        <v>3135000</v>
      </c>
      <c r="AM27" s="22" t="n">
        <f aca="false">(Driver_Series!AM5*engineer_cost_q)</f>
        <v>3190000</v>
      </c>
      <c r="AN27" s="22" t="n">
        <f aca="false">(Driver_Series!AN5*engineer_cost_q)</f>
        <v>3245000</v>
      </c>
      <c r="AO27" s="22" t="n">
        <f aca="false">(Driver_Series!AO5*engineer_cost_q)</f>
        <v>3300000</v>
      </c>
    </row>
    <row r="28" customFormat="false" ht="15" hidden="false" customHeight="false" outlineLevel="0" collapsed="false">
      <c r="A28" s="2" t="s">
        <v>290</v>
      </c>
      <c r="B28" s="2" t="s">
        <v>291</v>
      </c>
      <c r="C28" s="2" t="s">
        <v>100</v>
      </c>
      <c r="D28" s="2" t="s">
        <v>54</v>
      </c>
      <c r="E28" s="2" t="s">
        <v>55</v>
      </c>
      <c r="F28" s="17" t="s">
        <v>292</v>
      </c>
      <c r="G28" s="2" t="s">
        <v>293</v>
      </c>
      <c r="H28" s="2"/>
      <c r="J28" s="22" t="n">
        <f aca="false">(other_opex_initial_q)*(1+other_opex_growth_q)^(Timeline!J$9-1)</f>
        <v>600000</v>
      </c>
      <c r="K28" s="22" t="n">
        <f aca="false">(other_opex_initial_q)*(1+other_opex_growth_q)^(Timeline!K$9-1)</f>
        <v>615000</v>
      </c>
      <c r="L28" s="22" t="n">
        <f aca="false">(other_opex_initial_q)*(1+other_opex_growth_q)^(Timeline!L$9-1)</f>
        <v>630375</v>
      </c>
      <c r="M28" s="22" t="n">
        <f aca="false">(other_opex_initial_q)*(1+other_opex_growth_q)^(Timeline!M$9-1)</f>
        <v>646134.375</v>
      </c>
      <c r="N28" s="22" t="n">
        <f aca="false">(other_opex_initial_q)*(1+other_opex_growth_q)^(Timeline!N$9-1)</f>
        <v>662287.734375</v>
      </c>
      <c r="O28" s="22" t="n">
        <f aca="false">(other_opex_initial_q)*(1+other_opex_growth_q)^(Timeline!O$9-1)</f>
        <v>678844.927734375</v>
      </c>
      <c r="P28" s="22" t="n">
        <f aca="false">(other_opex_initial_q)*(1+other_opex_growth_q)^(Timeline!P$9-1)</f>
        <v>695816.050927734</v>
      </c>
      <c r="Q28" s="22" t="n">
        <f aca="false">(other_opex_initial_q)*(1+other_opex_growth_q)^(Timeline!Q$9-1)</f>
        <v>713211.452200927</v>
      </c>
      <c r="R28" s="22" t="n">
        <f aca="false">(other_opex_initial_q)*(1+other_opex_growth_q)^(Timeline!R$9-1)</f>
        <v>731041.73850595</v>
      </c>
      <c r="S28" s="22" t="n">
        <f aca="false">(other_opex_initial_q)*(1+other_opex_growth_q)^(Timeline!S$9-1)</f>
        <v>749317.781968599</v>
      </c>
      <c r="T28" s="22" t="n">
        <f aca="false">(other_opex_initial_q)*(1+other_opex_growth_q)^(Timeline!T$9-1)</f>
        <v>768050.726517814</v>
      </c>
      <c r="U28" s="22" t="n">
        <f aca="false">(other_opex_initial_q)*(1+other_opex_growth_q)^(Timeline!U$9-1)</f>
        <v>787251.994680759</v>
      </c>
      <c r="V28" s="22" t="n">
        <f aca="false">(other_opex_initial_q)*(1+other_opex_growth_q)^(Timeline!V$9-1)</f>
        <v>806933.294547778</v>
      </c>
      <c r="W28" s="22" t="n">
        <f aca="false">(other_opex_initial_q)*(1+other_opex_growth_q)^(Timeline!W$9-1)</f>
        <v>827106.626911473</v>
      </c>
      <c r="X28" s="22" t="n">
        <f aca="false">(other_opex_initial_q)*(1+other_opex_growth_q)^(Timeline!X$9-1)</f>
        <v>847784.292584259</v>
      </c>
      <c r="Y28" s="22" t="n">
        <f aca="false">(other_opex_initial_q)*(1+other_opex_growth_q)^(Timeline!Y$9-1)</f>
        <v>868978.899898866</v>
      </c>
      <c r="Z28" s="22" t="n">
        <f aca="false">(other_opex_initial_q)*(1+other_opex_growth_q)^(Timeline!Z$9-1)</f>
        <v>890703.372396337</v>
      </c>
      <c r="AA28" s="22" t="n">
        <f aca="false">(other_opex_initial_q)*(1+other_opex_growth_q)^(Timeline!AA$9-1)</f>
        <v>912970.956706246</v>
      </c>
      <c r="AB28" s="22" t="n">
        <f aca="false">(other_opex_initial_q)*(1+other_opex_growth_q)^(Timeline!AB$9-1)</f>
        <v>935795.230623902</v>
      </c>
      <c r="AC28" s="22" t="n">
        <f aca="false">(other_opex_initial_q)*(1+other_opex_growth_q)^(Timeline!AC$9-1)</f>
        <v>959190.111389499</v>
      </c>
      <c r="AD28" s="22" t="n">
        <f aca="false">(other_opex_initial_q)*(1+other_opex_growth_q)^(Timeline!AD$9-1)</f>
        <v>983169.864174237</v>
      </c>
      <c r="AE28" s="22" t="n">
        <f aca="false">(other_opex_initial_q)*(1+other_opex_growth_q)^(Timeline!AE$9-1)</f>
        <v>1007749.11077859</v>
      </c>
      <c r="AF28" s="22" t="n">
        <f aca="false">(other_opex_initial_q)*(1+other_opex_growth_q)^(Timeline!AF$9-1)</f>
        <v>1032942.83854806</v>
      </c>
      <c r="AG28" s="22" t="n">
        <f aca="false">(other_opex_initial_q)*(1+other_opex_growth_q)^(Timeline!AG$9-1)</f>
        <v>1058766.40951176</v>
      </c>
      <c r="AH28" s="22" t="n">
        <f aca="false">(other_opex_initial_q)*(1+other_opex_growth_q)^(Timeline!AH$9-1)</f>
        <v>1085235.56974955</v>
      </c>
      <c r="AI28" s="22" t="n">
        <f aca="false">(other_opex_initial_q)*(1+other_opex_growth_q)^(Timeline!AI$9-1)</f>
        <v>1112366.45899329</v>
      </c>
      <c r="AJ28" s="22" t="n">
        <f aca="false">(other_opex_initial_q)*(1+other_opex_growth_q)^(Timeline!AJ$9-1)</f>
        <v>1140175.62046812</v>
      </c>
      <c r="AK28" s="22" t="n">
        <f aca="false">(other_opex_initial_q)*(1+other_opex_growth_q)^(Timeline!AK$9-1)</f>
        <v>1168680.01097983</v>
      </c>
      <c r="AL28" s="22" t="n">
        <f aca="false">(other_opex_initial_q)*(1+other_opex_growth_q)^(Timeline!AL$9-1)</f>
        <v>1197897.01125432</v>
      </c>
      <c r="AM28" s="22" t="n">
        <f aca="false">(other_opex_initial_q)*(1+other_opex_growth_q)^(Timeline!AM$9-1)</f>
        <v>1227844.43653568</v>
      </c>
      <c r="AN28" s="22" t="n">
        <f aca="false">(other_opex_initial_q)*(1+other_opex_growth_q)^(Timeline!AN$9-1)</f>
        <v>1258540.54744907</v>
      </c>
      <c r="AO28" s="22" t="n">
        <f aca="false">(other_opex_initial_q)*(1+other_opex_growth_q)^(Timeline!AO$9-1)</f>
        <v>1290004.0611353</v>
      </c>
    </row>
    <row r="29" customFormat="false" ht="15" hidden="false" customHeight="false" outlineLevel="0" collapsed="false">
      <c r="A29" s="2" t="s">
        <v>294</v>
      </c>
      <c r="B29" s="2" t="s">
        <v>295</v>
      </c>
      <c r="C29" s="2" t="s">
        <v>100</v>
      </c>
      <c r="D29" s="2" t="s">
        <v>54</v>
      </c>
      <c r="E29" s="2" t="s">
        <v>55</v>
      </c>
      <c r="F29" s="17" t="s">
        <v>296</v>
      </c>
      <c r="G29" s="2" t="s">
        <v>297</v>
      </c>
      <c r="H29" s="2"/>
      <c r="J29" s="22" t="n">
        <f aca="false">((Driver_Series!J6*ga_cost_per_fte_q)+J28)</f>
        <v>840000</v>
      </c>
      <c r="K29" s="22" t="n">
        <f aca="false">((Driver_Series!K6*ga_cost_per_fte_q)+K28)</f>
        <v>855000</v>
      </c>
      <c r="L29" s="22" t="n">
        <f aca="false">((Driver_Series!L6*ga_cost_per_fte_q)+L28)</f>
        <v>870375</v>
      </c>
      <c r="M29" s="22" t="n">
        <f aca="false">((Driver_Series!M6*ga_cost_per_fte_q)+M28)</f>
        <v>886134.375</v>
      </c>
      <c r="N29" s="22" t="n">
        <f aca="false">((Driver_Series!N6*ga_cost_per_fte_q)+N28)</f>
        <v>982287.734375</v>
      </c>
      <c r="O29" s="22" t="n">
        <f aca="false">((Driver_Series!O6*ga_cost_per_fte_q)+O28)</f>
        <v>998844.927734375</v>
      </c>
      <c r="P29" s="22" t="n">
        <f aca="false">((Driver_Series!P6*ga_cost_per_fte_q)+P28)</f>
        <v>1015816.05092773</v>
      </c>
      <c r="Q29" s="22" t="n">
        <f aca="false">((Driver_Series!Q6*ga_cost_per_fte_q)+Q28)</f>
        <v>1033211.45220093</v>
      </c>
      <c r="R29" s="22" t="n">
        <f aca="false">((Driver_Series!R6*ga_cost_per_fte_q)+R28)</f>
        <v>1131041.73850595</v>
      </c>
      <c r="S29" s="22" t="n">
        <f aca="false">((Driver_Series!S6*ga_cost_per_fte_q)+S28)</f>
        <v>1149317.7819686</v>
      </c>
      <c r="T29" s="22" t="n">
        <f aca="false">((Driver_Series!T6*ga_cost_per_fte_q)+T28)</f>
        <v>1168050.72651781</v>
      </c>
      <c r="U29" s="22" t="n">
        <f aca="false">((Driver_Series!U6*ga_cost_per_fte_q)+U28)</f>
        <v>1187251.99468076</v>
      </c>
      <c r="V29" s="22" t="n">
        <f aca="false">((Driver_Series!V6*ga_cost_per_fte_q)+V28)</f>
        <v>1286933.29454778</v>
      </c>
      <c r="W29" s="22" t="n">
        <f aca="false">((Driver_Series!W6*ga_cost_per_fte_q)+W28)</f>
        <v>1307106.62691147</v>
      </c>
      <c r="X29" s="22" t="n">
        <f aca="false">((Driver_Series!X6*ga_cost_per_fte_q)+X28)</f>
        <v>1327784.29258426</v>
      </c>
      <c r="Y29" s="22" t="n">
        <f aca="false">((Driver_Series!Y6*ga_cost_per_fte_q)+Y28)</f>
        <v>1348978.89989887</v>
      </c>
      <c r="Z29" s="22" t="n">
        <f aca="false">((Driver_Series!Z6*ga_cost_per_fte_q)+Z28)</f>
        <v>1450703.37239634</v>
      </c>
      <c r="AA29" s="22" t="n">
        <f aca="false">((Driver_Series!AA6*ga_cost_per_fte_q)+AA28)</f>
        <v>1472970.95670625</v>
      </c>
      <c r="AB29" s="22" t="n">
        <f aca="false">((Driver_Series!AB6*ga_cost_per_fte_q)+AB28)</f>
        <v>1495795.2306239</v>
      </c>
      <c r="AC29" s="22" t="n">
        <f aca="false">((Driver_Series!AC6*ga_cost_per_fte_q)+AC28)</f>
        <v>1519190.1113895</v>
      </c>
      <c r="AD29" s="22" t="n">
        <f aca="false">((Driver_Series!AD6*ga_cost_per_fte_q)+AD28)</f>
        <v>1583169.86417424</v>
      </c>
      <c r="AE29" s="22" t="n">
        <f aca="false">((Driver_Series!AE6*ga_cost_per_fte_q)+AE28)</f>
        <v>1607749.11077859</v>
      </c>
      <c r="AF29" s="22" t="n">
        <f aca="false">((Driver_Series!AF6*ga_cost_per_fte_q)+AF28)</f>
        <v>1632942.83854806</v>
      </c>
      <c r="AG29" s="22" t="n">
        <f aca="false">((Driver_Series!AG6*ga_cost_per_fte_q)+AG28)</f>
        <v>1658766.40951176</v>
      </c>
      <c r="AH29" s="22" t="n">
        <f aca="false">((Driver_Series!AH6*ga_cost_per_fte_q)+AH28)</f>
        <v>1725235.56974955</v>
      </c>
      <c r="AI29" s="22" t="n">
        <f aca="false">((Driver_Series!AI6*ga_cost_per_fte_q)+AI28)</f>
        <v>1752366.45899329</v>
      </c>
      <c r="AJ29" s="22" t="n">
        <f aca="false">((Driver_Series!AJ6*ga_cost_per_fte_q)+AJ28)</f>
        <v>1780175.62046812</v>
      </c>
      <c r="AK29" s="22" t="n">
        <f aca="false">((Driver_Series!AK6*ga_cost_per_fte_q)+AK28)</f>
        <v>1808680.01097983</v>
      </c>
      <c r="AL29" s="22" t="n">
        <f aca="false">((Driver_Series!AL6*ga_cost_per_fte_q)+AL28)</f>
        <v>1877897.01125432</v>
      </c>
      <c r="AM29" s="22" t="n">
        <f aca="false">((Driver_Series!AM6*ga_cost_per_fte_q)+AM28)</f>
        <v>1907844.43653568</v>
      </c>
      <c r="AN29" s="22" t="n">
        <f aca="false">((Driver_Series!AN6*ga_cost_per_fte_q)+AN28)</f>
        <v>1938540.54744907</v>
      </c>
      <c r="AO29" s="22" t="n">
        <f aca="false">((Driver_Series!AO6*ga_cost_per_fte_q)+AO28)</f>
        <v>1970004.0611353</v>
      </c>
    </row>
    <row r="30" customFormat="false" ht="15" hidden="false" customHeight="false" outlineLevel="0" collapsed="false">
      <c r="A30" s="2" t="s">
        <v>298</v>
      </c>
      <c r="B30" s="2" t="s">
        <v>299</v>
      </c>
      <c r="C30" s="2" t="s">
        <v>100</v>
      </c>
      <c r="D30" s="2" t="s">
        <v>54</v>
      </c>
      <c r="E30" s="2" t="s">
        <v>55</v>
      </c>
      <c r="F30" s="17" t="s">
        <v>300</v>
      </c>
      <c r="G30" s="2" t="s">
        <v>301</v>
      </c>
      <c r="H30" s="2"/>
      <c r="J30" s="22" t="n">
        <f aca="false">IF(AND(Timeline!J$9&gt;=platform_rebuild_start,Timeline!J$9&lt;platform_rebuild_start+platform_rebuild_periods),platform_rebuild_cost/platform_rebuild_periods,0)</f>
        <v>0</v>
      </c>
      <c r="K30" s="22" t="n">
        <f aca="false">IF(AND(Timeline!K$9&gt;=platform_rebuild_start,Timeline!K$9&lt;platform_rebuild_start+platform_rebuild_periods),platform_rebuild_cost/platform_rebuild_periods,0)</f>
        <v>0</v>
      </c>
      <c r="L30" s="22" t="n">
        <f aca="false">IF(AND(Timeline!L$9&gt;=platform_rebuild_start,Timeline!L$9&lt;platform_rebuild_start+platform_rebuild_periods),platform_rebuild_cost/platform_rebuild_periods,0)</f>
        <v>0</v>
      </c>
      <c r="M30" s="22" t="n">
        <f aca="false">IF(AND(Timeline!M$9&gt;=platform_rebuild_start,Timeline!M$9&lt;platform_rebuild_start+platform_rebuild_periods),platform_rebuild_cost/platform_rebuild_periods,0)</f>
        <v>0</v>
      </c>
      <c r="N30" s="22" t="n">
        <f aca="false">IF(AND(Timeline!N$9&gt;=platform_rebuild_start,Timeline!N$9&lt;platform_rebuild_start+platform_rebuild_periods),platform_rebuild_cost/platform_rebuild_periods,0)</f>
        <v>0</v>
      </c>
      <c r="O30" s="22" t="n">
        <f aca="false">IF(AND(Timeline!O$9&gt;=platform_rebuild_start,Timeline!O$9&lt;platform_rebuild_start+platform_rebuild_periods),platform_rebuild_cost/platform_rebuild_periods,0)</f>
        <v>0</v>
      </c>
      <c r="P30" s="22" t="n">
        <f aca="false">IF(AND(Timeline!P$9&gt;=platform_rebuild_start,Timeline!P$9&lt;platform_rebuild_start+platform_rebuild_periods),platform_rebuild_cost/platform_rebuild_periods,0)</f>
        <v>0</v>
      </c>
      <c r="Q30" s="22" t="n">
        <f aca="false">IF(AND(Timeline!Q$9&gt;=platform_rebuild_start,Timeline!Q$9&lt;platform_rebuild_start+platform_rebuild_periods),platform_rebuild_cost/platform_rebuild_periods,0)</f>
        <v>0</v>
      </c>
      <c r="R30" s="22" t="n">
        <f aca="false">IF(AND(Timeline!R$9&gt;=platform_rebuild_start,Timeline!R$9&lt;platform_rebuild_start+platform_rebuild_periods),platform_rebuild_cost/platform_rebuild_periods,0)</f>
        <v>1500000</v>
      </c>
      <c r="S30" s="22" t="n">
        <f aca="false">IF(AND(Timeline!S$9&gt;=platform_rebuild_start,Timeline!S$9&lt;platform_rebuild_start+platform_rebuild_periods),platform_rebuild_cost/platform_rebuild_periods,0)</f>
        <v>1500000</v>
      </c>
      <c r="T30" s="22" t="n">
        <f aca="false">IF(AND(Timeline!T$9&gt;=platform_rebuild_start,Timeline!T$9&lt;platform_rebuild_start+platform_rebuild_periods),platform_rebuild_cost/platform_rebuild_periods,0)</f>
        <v>1500000</v>
      </c>
      <c r="U30" s="22" t="n">
        <f aca="false">IF(AND(Timeline!U$9&gt;=platform_rebuild_start,Timeline!U$9&lt;platform_rebuild_start+platform_rebuild_periods),platform_rebuild_cost/platform_rebuild_periods,0)</f>
        <v>1500000</v>
      </c>
      <c r="V30" s="22" t="n">
        <f aca="false">IF(AND(Timeline!V$9&gt;=platform_rebuild_start,Timeline!V$9&lt;platform_rebuild_start+platform_rebuild_periods),platform_rebuild_cost/platform_rebuild_periods,0)</f>
        <v>0</v>
      </c>
      <c r="W30" s="22" t="n">
        <f aca="false">IF(AND(Timeline!W$9&gt;=platform_rebuild_start,Timeline!W$9&lt;platform_rebuild_start+platform_rebuild_periods),platform_rebuild_cost/platform_rebuild_periods,0)</f>
        <v>0</v>
      </c>
      <c r="X30" s="22" t="n">
        <f aca="false">IF(AND(Timeline!X$9&gt;=platform_rebuild_start,Timeline!X$9&lt;platform_rebuild_start+platform_rebuild_periods),platform_rebuild_cost/platform_rebuild_periods,0)</f>
        <v>0</v>
      </c>
      <c r="Y30" s="22" t="n">
        <f aca="false">IF(AND(Timeline!Y$9&gt;=platform_rebuild_start,Timeline!Y$9&lt;platform_rebuild_start+platform_rebuild_periods),platform_rebuild_cost/platform_rebuild_periods,0)</f>
        <v>0</v>
      </c>
      <c r="Z30" s="22" t="n">
        <f aca="false">IF(AND(Timeline!Z$9&gt;=platform_rebuild_start,Timeline!Z$9&lt;platform_rebuild_start+platform_rebuild_periods),platform_rebuild_cost/platform_rebuild_periods,0)</f>
        <v>0</v>
      </c>
      <c r="AA30" s="22" t="n">
        <f aca="false">IF(AND(Timeline!AA$9&gt;=platform_rebuild_start,Timeline!AA$9&lt;platform_rebuild_start+platform_rebuild_periods),platform_rebuild_cost/platform_rebuild_periods,0)</f>
        <v>0</v>
      </c>
      <c r="AB30" s="22" t="n">
        <f aca="false">IF(AND(Timeline!AB$9&gt;=platform_rebuild_start,Timeline!AB$9&lt;platform_rebuild_start+platform_rebuild_periods),platform_rebuild_cost/platform_rebuild_periods,0)</f>
        <v>0</v>
      </c>
      <c r="AC30" s="22" t="n">
        <f aca="false">IF(AND(Timeline!AC$9&gt;=platform_rebuild_start,Timeline!AC$9&lt;platform_rebuild_start+platform_rebuild_periods),platform_rebuild_cost/platform_rebuild_periods,0)</f>
        <v>0</v>
      </c>
      <c r="AD30" s="22" t="n">
        <f aca="false">IF(AND(Timeline!AD$9&gt;=platform_rebuild_start,Timeline!AD$9&lt;platform_rebuild_start+platform_rebuild_periods),platform_rebuild_cost/platform_rebuild_periods,0)</f>
        <v>0</v>
      </c>
      <c r="AE30" s="22" t="n">
        <f aca="false">IF(AND(Timeline!AE$9&gt;=platform_rebuild_start,Timeline!AE$9&lt;platform_rebuild_start+platform_rebuild_periods),platform_rebuild_cost/platform_rebuild_periods,0)</f>
        <v>0</v>
      </c>
      <c r="AF30" s="22" t="n">
        <f aca="false">IF(AND(Timeline!AF$9&gt;=platform_rebuild_start,Timeline!AF$9&lt;platform_rebuild_start+platform_rebuild_periods),platform_rebuild_cost/platform_rebuild_periods,0)</f>
        <v>0</v>
      </c>
      <c r="AG30" s="22" t="n">
        <f aca="false">IF(AND(Timeline!AG$9&gt;=platform_rebuild_start,Timeline!AG$9&lt;platform_rebuild_start+platform_rebuild_periods),platform_rebuild_cost/platform_rebuild_periods,0)</f>
        <v>0</v>
      </c>
      <c r="AH30" s="22" t="n">
        <f aca="false">IF(AND(Timeline!AH$9&gt;=platform_rebuild_start,Timeline!AH$9&lt;platform_rebuild_start+platform_rebuild_periods),platform_rebuild_cost/platform_rebuild_periods,0)</f>
        <v>0</v>
      </c>
      <c r="AI30" s="22" t="n">
        <f aca="false">IF(AND(Timeline!AI$9&gt;=platform_rebuild_start,Timeline!AI$9&lt;platform_rebuild_start+platform_rebuild_periods),platform_rebuild_cost/platform_rebuild_periods,0)</f>
        <v>0</v>
      </c>
      <c r="AJ30" s="22" t="n">
        <f aca="false">IF(AND(Timeline!AJ$9&gt;=platform_rebuild_start,Timeline!AJ$9&lt;platform_rebuild_start+platform_rebuild_periods),platform_rebuild_cost/platform_rebuild_periods,0)</f>
        <v>0</v>
      </c>
      <c r="AK30" s="22" t="n">
        <f aca="false">IF(AND(Timeline!AK$9&gt;=platform_rebuild_start,Timeline!AK$9&lt;platform_rebuild_start+platform_rebuild_periods),platform_rebuild_cost/platform_rebuild_periods,0)</f>
        <v>0</v>
      </c>
      <c r="AL30" s="22" t="n">
        <f aca="false">IF(AND(Timeline!AL$9&gt;=platform_rebuild_start,Timeline!AL$9&lt;platform_rebuild_start+platform_rebuild_periods),platform_rebuild_cost/platform_rebuild_periods,0)</f>
        <v>0</v>
      </c>
      <c r="AM30" s="22" t="n">
        <f aca="false">IF(AND(Timeline!AM$9&gt;=platform_rebuild_start,Timeline!AM$9&lt;platform_rebuild_start+platform_rebuild_periods),platform_rebuild_cost/platform_rebuild_periods,0)</f>
        <v>0</v>
      </c>
      <c r="AN30" s="22" t="n">
        <f aca="false">IF(AND(Timeline!AN$9&gt;=platform_rebuild_start,Timeline!AN$9&lt;platform_rebuild_start+platform_rebuild_periods),platform_rebuild_cost/platform_rebuild_periods,0)</f>
        <v>0</v>
      </c>
      <c r="AO30" s="22" t="n">
        <f aca="false">IF(AND(Timeline!AO$9&gt;=platform_rebuild_start,Timeline!AO$9&lt;platform_rebuild_start+platform_rebuild_periods),platform_rebuild_cost/platform_rebuild_periods,0)</f>
        <v>0</v>
      </c>
    </row>
    <row r="31" customFormat="false" ht="15" hidden="false" customHeight="false" outlineLevel="0" collapsed="false">
      <c r="A31" s="2" t="s">
        <v>302</v>
      </c>
      <c r="B31" s="2" t="s">
        <v>100</v>
      </c>
      <c r="C31" s="2" t="s">
        <v>100</v>
      </c>
      <c r="D31" s="2" t="s">
        <v>54</v>
      </c>
      <c r="E31" s="2" t="s">
        <v>55</v>
      </c>
      <c r="F31" s="17" t="s">
        <v>303</v>
      </c>
      <c r="G31" s="2" t="s">
        <v>304</v>
      </c>
      <c r="H31" s="2"/>
      <c r="J31" s="22" t="n">
        <f aca="false">SUM(J26,J27,J29,J30)</f>
        <v>2810000</v>
      </c>
      <c r="K31" s="22" t="n">
        <f aca="false">SUM(K26,K27,K29,K30)</f>
        <v>2980000</v>
      </c>
      <c r="L31" s="22" t="n">
        <f aca="false">SUM(L26,L27,L29,L30)</f>
        <v>3195375</v>
      </c>
      <c r="M31" s="22" t="n">
        <f aca="false">SUM(M26,M27,M29,M30)</f>
        <v>3466134.375</v>
      </c>
      <c r="N31" s="22" t="n">
        <f aca="false">SUM(N26,N27,N29,N30)</f>
        <v>3817287.734375</v>
      </c>
      <c r="O31" s="22" t="n">
        <f aca="false">SUM(O26,O27,O29,O30)</f>
        <v>4088844.92773437</v>
      </c>
      <c r="P31" s="22" t="n">
        <f aca="false">SUM(P26,P27,P29,P30)</f>
        <v>4360816.05092773</v>
      </c>
      <c r="Q31" s="22" t="n">
        <f aca="false">SUM(Q26,Q27,Q29,Q30)</f>
        <v>4633211.45220093</v>
      </c>
      <c r="R31" s="22" t="n">
        <f aca="false">SUM(R26,R27,R29,R30)</f>
        <v>6486041.73850595</v>
      </c>
      <c r="S31" s="22" t="n">
        <f aca="false">SUM(S26,S27,S29,S30)</f>
        <v>6759317.7819686</v>
      </c>
      <c r="T31" s="22" t="n">
        <f aca="false">SUM(T26,T27,T29,T30)</f>
        <v>7033050.72651781</v>
      </c>
      <c r="U31" s="22" t="n">
        <f aca="false">SUM(U26,U27,U29,U30)</f>
        <v>7307251.99468076</v>
      </c>
      <c r="V31" s="22" t="n">
        <f aca="false">SUM(V26,V27,V29,V30)</f>
        <v>6106933.29454778</v>
      </c>
      <c r="W31" s="22" t="n">
        <f aca="false">SUM(W26,W27,W29,W30)</f>
        <v>6327106.62691147</v>
      </c>
      <c r="X31" s="22" t="n">
        <f aca="false">SUM(X26,X27,X29,X30)</f>
        <v>6547784.29258426</v>
      </c>
      <c r="Y31" s="22" t="n">
        <f aca="false">SUM(Y26,Y27,Y29,Y30)</f>
        <v>6768978.89989887</v>
      </c>
      <c r="Z31" s="22" t="n">
        <f aca="false">SUM(Z26,Z27,Z29,Z30)</f>
        <v>7070703.37239634</v>
      </c>
      <c r="AA31" s="22" t="n">
        <f aca="false">SUM(AA26,AA27,AA29,AA30)</f>
        <v>7207970.95670625</v>
      </c>
      <c r="AB31" s="22" t="n">
        <f aca="false">SUM(AB26,AB27,AB29,AB30)</f>
        <v>7390795.2306239</v>
      </c>
      <c r="AC31" s="22" t="n">
        <f aca="false">SUM(AC26,AC27,AC29,AC30)</f>
        <v>7529190.1113895</v>
      </c>
      <c r="AD31" s="22" t="n">
        <f aca="false">SUM(AD26,AD27,AD29,AD30)</f>
        <v>7753169.86417424</v>
      </c>
      <c r="AE31" s="22" t="n">
        <f aca="false">SUM(AE26,AE27,AE29,AE30)</f>
        <v>7892749.11077859</v>
      </c>
      <c r="AF31" s="22" t="n">
        <f aca="false">SUM(AF26,AF27,AF29,AF30)</f>
        <v>8077942.83854806</v>
      </c>
      <c r="AG31" s="22" t="n">
        <f aca="false">SUM(AG26,AG27,AG29,AG30)</f>
        <v>8218766.40951176</v>
      </c>
      <c r="AH31" s="22" t="n">
        <f aca="false">SUM(AH26,AH27,AH29,AH30)</f>
        <v>8445235.56974955</v>
      </c>
      <c r="AI31" s="22" t="n">
        <f aca="false">SUM(AI26,AI27,AI29,AI30)</f>
        <v>8587366.45899329</v>
      </c>
      <c r="AJ31" s="22" t="n">
        <f aca="false">SUM(AJ26,AJ27,AJ29,AJ30)</f>
        <v>8775175.62046812</v>
      </c>
      <c r="AK31" s="22" t="n">
        <f aca="false">SUM(AK26,AK27,AK29,AK30)</f>
        <v>8918680.01097983</v>
      </c>
      <c r="AL31" s="22" t="n">
        <f aca="false">SUM(AL26,AL27,AL29,AL30)</f>
        <v>9147897.01125432</v>
      </c>
      <c r="AM31" s="22" t="n">
        <f aca="false">SUM(AM26,AM27,AM29,AM30)</f>
        <v>9292844.43653568</v>
      </c>
      <c r="AN31" s="22" t="n">
        <f aca="false">SUM(AN26,AN27,AN29,AN30)</f>
        <v>9483540.54744907</v>
      </c>
      <c r="AO31" s="22" t="n">
        <f aca="false">SUM(AO26,AO27,AO29,AO30)</f>
        <v>9630004.0611353</v>
      </c>
    </row>
    <row r="32" customFormat="false" ht="15" hidden="false" customHeight="false" outlineLevel="0" collapsed="false">
      <c r="A32" s="2" t="s">
        <v>305</v>
      </c>
      <c r="B32" s="2" t="s">
        <v>306</v>
      </c>
      <c r="C32" s="2" t="s">
        <v>100</v>
      </c>
      <c r="D32" s="2" t="s">
        <v>54</v>
      </c>
      <c r="E32" s="2" t="s">
        <v>55</v>
      </c>
      <c r="F32" s="17" t="s">
        <v>307</v>
      </c>
      <c r="G32" s="2" t="s">
        <v>308</v>
      </c>
      <c r="H32" s="2"/>
      <c r="J32" s="22" t="n">
        <f aca="false">(J23-J31)</f>
        <v>-721160</v>
      </c>
      <c r="K32" s="22" t="n">
        <f aca="false">(K23-K31)</f>
        <v>-736291.826743288</v>
      </c>
      <c r="L32" s="22" t="n">
        <f aca="false">(L23-L31)</f>
        <v>-766539.088307347</v>
      </c>
      <c r="M32" s="22" t="n">
        <f aca="false">(M23-M31)</f>
        <v>-822339.402519578</v>
      </c>
      <c r="N32" s="22" t="n">
        <f aca="false">(N23-N31)</f>
        <v>-926493.764115418</v>
      </c>
      <c r="O32" s="22" t="n">
        <f aca="false">(O23-O31)</f>
        <v>-922082.747737614</v>
      </c>
      <c r="P32" s="22" t="n">
        <f aca="false">(P23-P31)</f>
        <v>-889485.632171549</v>
      </c>
      <c r="Q32" s="22" t="n">
        <f aca="false">(Q23-Q31)</f>
        <v>-826383.393801343</v>
      </c>
      <c r="R32" s="22" t="n">
        <f aca="false">(R23-R31)</f>
        <v>-2315866.6092025</v>
      </c>
      <c r="S32" s="22" t="n">
        <f aca="false">(S23-S31)</f>
        <v>-2198261.10414027</v>
      </c>
      <c r="T32" s="22" t="n">
        <f aca="false">(T23-T31)</f>
        <v>-2051131.14823112</v>
      </c>
      <c r="U32" s="22" t="n">
        <f aca="false">(U23-U31)</f>
        <v>-1877583.36032434</v>
      </c>
      <c r="V32" s="22" t="n">
        <f aca="false">(V23-V31)</f>
        <v>-202894.550948348</v>
      </c>
      <c r="W32" s="22" t="n">
        <f aca="false">(W23-W31)</f>
        <v>80484.8717296831</v>
      </c>
      <c r="X32" s="22" t="n">
        <f aca="false">(X23-X31)</f>
        <v>389426.594588967</v>
      </c>
      <c r="Y32" s="22" t="n">
        <f aca="false">(Y23-Y31)</f>
        <v>723698.792569003</v>
      </c>
      <c r="Z32" s="22" t="n">
        <f aca="false">(Z23-Z31)</f>
        <v>1005962.50157771</v>
      </c>
      <c r="AA32" s="22" t="n">
        <f aca="false">(AA23-AA31)</f>
        <v>1472257.53818032</v>
      </c>
      <c r="AB32" s="22" t="n">
        <f aca="false">(AB23-AB31)</f>
        <v>1903712.3688617</v>
      </c>
      <c r="AC32" s="22" t="n">
        <f aca="false">(AC23-AC31)</f>
        <v>2390384.69868928</v>
      </c>
      <c r="AD32" s="22" t="n">
        <f aca="false">(AD23-AD31)</f>
        <v>2802334.01424502</v>
      </c>
      <c r="AE32" s="22" t="n">
        <f aca="false">(AE23-AE31)</f>
        <v>3309621.55001815</v>
      </c>
      <c r="AF32" s="22" t="n">
        <f aca="false">(AF23-AF31)</f>
        <v>3782310.25574541</v>
      </c>
      <c r="AG32" s="22" t="n">
        <f aca="false">(AG23-AG31)</f>
        <v>4310464.76466094</v>
      </c>
      <c r="AH32" s="22" t="n">
        <f aca="false">(AH23-AH31)</f>
        <v>4764151.36261858</v>
      </c>
      <c r="AI32" s="22" t="n">
        <f aca="false">(AI23-AI31)</f>
        <v>5313437.95805016</v>
      </c>
      <c r="AJ32" s="22" t="n">
        <f aca="false">(AJ23-AJ31)</f>
        <v>5828394.05272456</v>
      </c>
      <c r="AK32" s="22" t="n">
        <f aca="false">(AK23-AK31)</f>
        <v>6399090.71327251</v>
      </c>
      <c r="AL32" s="22" t="n">
        <f aca="false">(AL23-AL31)</f>
        <v>6895600.5434434</v>
      </c>
      <c r="AM32" s="22" t="n">
        <f aca="false">(AM23-AM31)</f>
        <v>7487997.65706073</v>
      </c>
      <c r="AN32" s="22" t="n">
        <f aca="false">(AN23-AN31)</f>
        <v>8046357.65164371</v>
      </c>
      <c r="AO32" s="22" t="n">
        <f aca="false">(AO23-AO31)</f>
        <v>8660757.5826631</v>
      </c>
    </row>
    <row r="33" customFormat="false" ht="15" hidden="false" customHeight="false" outlineLevel="0" collapsed="false">
      <c r="A33" s="2" t="s">
        <v>309</v>
      </c>
      <c r="B33" s="2" t="s">
        <v>310</v>
      </c>
      <c r="C33" s="2" t="s">
        <v>100</v>
      </c>
      <c r="D33" s="2" t="s">
        <v>274</v>
      </c>
      <c r="E33" s="2" t="s">
        <v>75</v>
      </c>
      <c r="F33" s="17" t="s">
        <v>311</v>
      </c>
      <c r="G33" s="2" t="s">
        <v>312</v>
      </c>
      <c r="H33" s="2"/>
      <c r="J33" s="21" t="n">
        <f aca="false">(J32/J18)</f>
        <v>-0.291731391585761</v>
      </c>
      <c r="K33" s="21" t="n">
        <f aca="false">(K32/K18)</f>
        <v>-0.277463025519817</v>
      </c>
      <c r="L33" s="21" t="n">
        <f aca="false">(L32/L18)</f>
        <v>-0.267005574242194</v>
      </c>
      <c r="M33" s="21" t="n">
        <f aca="false">(M32/M18)</f>
        <v>-0.263310467617038</v>
      </c>
      <c r="N33" s="21" t="n">
        <f aca="false">(N32/N18)</f>
        <v>-0.271474275448154</v>
      </c>
      <c r="O33" s="21" t="n">
        <f aca="false">(O32/O18)</f>
        <v>-0.246782431635535</v>
      </c>
      <c r="P33" s="21" t="n">
        <f aca="false">(P32/P18)</f>
        <v>-0.21729873989516</v>
      </c>
      <c r="Q33" s="21" t="n">
        <f aca="false">(Q32/Q18)</f>
        <v>-0.184198019306855</v>
      </c>
      <c r="R33" s="21" t="n">
        <f aca="false">(R32/R18)</f>
        <v>-0.471494131306025</v>
      </c>
      <c r="S33" s="21" t="n">
        <f aca="false">(S32/S18)</f>
        <v>-0.409429633600761</v>
      </c>
      <c r="T33" s="21" t="n">
        <f aca="false">(T32/T18)</f>
        <v>-0.349952125647301</v>
      </c>
      <c r="U33" s="21" t="n">
        <f aca="false">(U32/U18)</f>
        <v>-0.294091396782308</v>
      </c>
      <c r="V33" s="21" t="n">
        <f aca="false">(V32/V18)</f>
        <v>-0.0292428816431648</v>
      </c>
      <c r="W33" s="21" t="n">
        <f aca="false">(W32/W18)</f>
        <v>0.0106944650423132</v>
      </c>
      <c r="X33" s="21" t="n">
        <f aca="false">(X32/X18)</f>
        <v>0.0478210464680115</v>
      </c>
      <c r="Y33" s="21" t="n">
        <f aca="false">(Y32/Y18)</f>
        <v>0.082325810532374</v>
      </c>
      <c r="Z33" s="21" t="n">
        <f aca="false">(Z32/Z18)</f>
        <v>0.106218429311803</v>
      </c>
      <c r="AA33" s="21" t="n">
        <f aca="false">(AA32/AA18)</f>
        <v>0.144722466088123</v>
      </c>
      <c r="AB33" s="21" t="n">
        <f aca="false">(AB32/AB18)</f>
        <v>0.174859630149489</v>
      </c>
      <c r="AC33" s="21" t="n">
        <f aca="false">(AC32/AC18)</f>
        <v>0.205834806101003</v>
      </c>
      <c r="AD33" s="21" t="n">
        <f aca="false">(AD32/AD18)</f>
        <v>0.226888587697645</v>
      </c>
      <c r="AE33" s="21" t="n">
        <f aca="false">(AE32/AE18)</f>
        <v>0.252618980546279</v>
      </c>
      <c r="AF33" s="21" t="n">
        <f aca="false">(AF32/AF18)</f>
        <v>0.27282543289365</v>
      </c>
      <c r="AG33" s="21" t="n">
        <f aca="false">(AG32/AG18)</f>
        <v>0.294471759329812</v>
      </c>
      <c r="AH33" s="21" t="n">
        <f aca="false">(AH32/AH18)</f>
        <v>0.30886409750123</v>
      </c>
      <c r="AI33" s="21" t="n">
        <f aca="false">(AI32/AI18)</f>
        <v>0.327505841885882</v>
      </c>
      <c r="AJ33" s="21" t="n">
        <f aca="false">(AJ32/AJ18)</f>
        <v>0.342129371835394</v>
      </c>
      <c r="AK33" s="21" t="n">
        <f aca="false">(AK32/AK18)</f>
        <v>0.358293217852788</v>
      </c>
      <c r="AL33" s="21" t="n">
        <f aca="false">(AL32/AL18)</f>
        <v>0.368809960443691</v>
      </c>
      <c r="AM33" s="21" t="n">
        <f aca="false">(AM32/AM18)</f>
        <v>0.383083620890582</v>
      </c>
      <c r="AN33" s="21" t="n">
        <f aca="false">(AN32/AN18)</f>
        <v>0.394250221103096</v>
      </c>
      <c r="AO33" s="21" t="n">
        <f aca="false">(AO32/AO18)</f>
        <v>0.406897313360555</v>
      </c>
    </row>
    <row r="34" customFormat="false" ht="15" hidden="false" customHeight="false" outlineLevel="0" collapsed="false">
      <c r="A34" s="2" t="s">
        <v>313</v>
      </c>
      <c r="B34" s="2" t="s">
        <v>133</v>
      </c>
      <c r="C34" s="2" t="s">
        <v>130</v>
      </c>
      <c r="D34" s="2" t="s">
        <v>54</v>
      </c>
      <c r="E34" s="2" t="s">
        <v>55</v>
      </c>
      <c r="F34" s="17" t="s">
        <v>314</v>
      </c>
      <c r="G34" s="2" t="s">
        <v>315</v>
      </c>
      <c r="H34" s="2"/>
      <c r="J34" s="22" t="n">
        <f aca="false">(J18*maintenance_capex_pct)</f>
        <v>37080</v>
      </c>
      <c r="K34" s="22" t="n">
        <f aca="false">(K18*maintenance_capex_pct)</f>
        <v>39804.8618566674</v>
      </c>
      <c r="L34" s="22" t="n">
        <f aca="false">(L18*maintenance_capex_pct)</f>
        <v>43063.0946834861</v>
      </c>
      <c r="M34" s="22" t="n">
        <f aca="false">(M18*maintenance_capex_pct)</f>
        <v>46846.1856052528</v>
      </c>
      <c r="N34" s="22" t="n">
        <f aca="false">(N18*maintenance_capex_pct)</f>
        <v>51192.351241344</v>
      </c>
      <c r="O34" s="22" t="n">
        <f aca="false">(O18*maintenance_capex_pct)</f>
        <v>56046.2960203388</v>
      </c>
      <c r="P34" s="22" t="n">
        <f aca="false">(P18*maintenance_capex_pct)</f>
        <v>61400.6528018087</v>
      </c>
      <c r="Q34" s="22" t="n">
        <f aca="false">(Q18*maintenance_capex_pct)</f>
        <v>67295.7882699601</v>
      </c>
      <c r="R34" s="22" t="n">
        <f aca="false">(R18*maintenance_capex_pct)</f>
        <v>73676.4189234216</v>
      </c>
      <c r="S34" s="22" t="n">
        <f aca="false">(S18*maintenance_capex_pct)</f>
        <v>80536.2237025014</v>
      </c>
      <c r="T34" s="22" t="n">
        <f aca="false">(T18*maintenance_capex_pct)</f>
        <v>87917.646353934</v>
      </c>
      <c r="U34" s="22" t="n">
        <f aca="false">(U18*maintenance_capex_pct)</f>
        <v>95765.2985194684</v>
      </c>
      <c r="V34" s="22" t="n">
        <f aca="false">(V18*maintenance_capex_pct)</f>
        <v>104073.815342907</v>
      </c>
      <c r="W34" s="22" t="n">
        <f aca="false">(W18*maintenance_capex_pct)</f>
        <v>112887.654610924</v>
      </c>
      <c r="X34" s="22" t="n">
        <f aca="false">(X18*maintenance_capex_pct)</f>
        <v>122151.214794974</v>
      </c>
      <c r="Y34" s="22" t="n">
        <f aca="false">(Y18*maintenance_capex_pct)</f>
        <v>131860.006215988</v>
      </c>
      <c r="Z34" s="22" t="n">
        <f aca="false">(Z18*maintenance_capex_pct)</f>
        <v>142060.446773986</v>
      </c>
      <c r="AA34" s="22" t="n">
        <f aca="false">(AA18*maintenance_capex_pct)</f>
        <v>152594.574081247</v>
      </c>
      <c r="AB34" s="22" t="n">
        <f aca="false">(AB18*maintenance_capex_pct)</f>
        <v>163306.336108071</v>
      </c>
      <c r="AC34" s="22" t="n">
        <f aca="false">(AC18*maintenance_capex_pct)</f>
        <v>174196.828804283</v>
      </c>
      <c r="AD34" s="22" t="n">
        <f aca="false">(AD18*maintenance_capex_pct)</f>
        <v>185267.186156105</v>
      </c>
      <c r="AE34" s="22" t="n">
        <f aca="false">(AE18*maintenance_capex_pct)</f>
        <v>196518.579652718</v>
      </c>
      <c r="AF34" s="22" t="n">
        <f aca="false">(AF18*maintenance_capex_pct)</f>
        <v>207952.217776914</v>
      </c>
      <c r="AG34" s="22" t="n">
        <f aca="false">(AG18*maintenance_capex_pct)</f>
        <v>219569.345519132</v>
      </c>
      <c r="AH34" s="22" t="n">
        <f aca="false">(AH18*maintenance_capex_pct)</f>
        <v>231371.243914143</v>
      </c>
      <c r="AI34" s="22" t="n">
        <f aca="false">(AI18*maintenance_capex_pct)</f>
        <v>243359.229599709</v>
      </c>
      <c r="AJ34" s="22" t="n">
        <f aca="false">(AJ18*maintenance_capex_pct)</f>
        <v>255534.654396556</v>
      </c>
      <c r="AK34" s="22" t="n">
        <f aca="false">(AK18*maintenance_capex_pct)</f>
        <v>267898.904909011</v>
      </c>
      <c r="AL34" s="22" t="n">
        <f aca="false">(AL18*maintenance_capex_pct)</f>
        <v>280453.402145691</v>
      </c>
      <c r="AM34" s="22" t="n">
        <f aca="false">(AM18*maintenance_capex_pct)</f>
        <v>293199.601159644</v>
      </c>
      <c r="AN34" s="22" t="n">
        <f aca="false">(AN18*maintenance_capex_pct)</f>
        <v>306138.99070736</v>
      </c>
      <c r="AO34" s="22" t="n">
        <f aca="false">(AO18*maintenance_capex_pct)</f>
        <v>319273.092926104</v>
      </c>
    </row>
    <row r="35" customFormat="false" ht="15" hidden="false" customHeight="false" outlineLevel="0" collapsed="false">
      <c r="A35" s="2" t="s">
        <v>316</v>
      </c>
      <c r="B35" s="2" t="s">
        <v>130</v>
      </c>
      <c r="C35" s="2" t="s">
        <v>130</v>
      </c>
      <c r="D35" s="2" t="s">
        <v>54</v>
      </c>
      <c r="E35" s="2" t="s">
        <v>55</v>
      </c>
      <c r="F35" s="17" t="s">
        <v>317</v>
      </c>
      <c r="G35" s="2" t="s">
        <v>318</v>
      </c>
      <c r="H35" s="2"/>
      <c r="J35" s="22" t="n">
        <f aca="false">(Driver_Series!J7+J34)</f>
        <v>437080</v>
      </c>
      <c r="K35" s="22" t="n">
        <f aca="false">(Driver_Series!K7+K34)</f>
        <v>439804.861856667</v>
      </c>
      <c r="L35" s="22" t="n">
        <f aca="false">(Driver_Series!L7+L34)</f>
        <v>443063.094683486</v>
      </c>
      <c r="M35" s="22" t="n">
        <f aca="false">(Driver_Series!M7+M34)</f>
        <v>446846.185605253</v>
      </c>
      <c r="N35" s="22" t="n">
        <f aca="false">(Driver_Series!N7+N34)</f>
        <v>301192.351241344</v>
      </c>
      <c r="O35" s="22" t="n">
        <f aca="false">(Driver_Series!O7+O34)</f>
        <v>306046.296020339</v>
      </c>
      <c r="P35" s="22" t="n">
        <f aca="false">(Driver_Series!P7+P34)</f>
        <v>311400.652801809</v>
      </c>
      <c r="Q35" s="22" t="n">
        <f aca="false">(Driver_Series!Q7+Q34)</f>
        <v>317295.78826996</v>
      </c>
      <c r="R35" s="22" t="n">
        <f aca="false">(Driver_Series!R7+R34)</f>
        <v>973676.418923422</v>
      </c>
      <c r="S35" s="22" t="n">
        <f aca="false">(Driver_Series!S7+S34)</f>
        <v>980536.223702501</v>
      </c>
      <c r="T35" s="22" t="n">
        <f aca="false">(Driver_Series!T7+T34)</f>
        <v>987917.646353934</v>
      </c>
      <c r="U35" s="22" t="n">
        <f aca="false">(Driver_Series!U7+U34)</f>
        <v>995765.298519468</v>
      </c>
      <c r="V35" s="22" t="n">
        <f aca="false">(Driver_Series!V7+V34)</f>
        <v>404073.815342907</v>
      </c>
      <c r="W35" s="22" t="n">
        <f aca="false">(Driver_Series!W7+W34)</f>
        <v>412887.654610924</v>
      </c>
      <c r="X35" s="22" t="n">
        <f aca="false">(Driver_Series!X7+X34)</f>
        <v>422151.214794974</v>
      </c>
      <c r="Y35" s="22" t="n">
        <f aca="false">(Driver_Series!Y7+Y34)</f>
        <v>431860.006215988</v>
      </c>
      <c r="Z35" s="22" t="n">
        <f aca="false">(Driver_Series!Z7+Z34)</f>
        <v>442060.446773986</v>
      </c>
      <c r="AA35" s="22" t="n">
        <f aca="false">(Driver_Series!AA7+AA34)</f>
        <v>452594.574081247</v>
      </c>
      <c r="AB35" s="22" t="n">
        <f aca="false">(Driver_Series!AB7+AB34)</f>
        <v>463306.336108071</v>
      </c>
      <c r="AC35" s="22" t="n">
        <f aca="false">(Driver_Series!AC7+AC34)</f>
        <v>474196.828804283</v>
      </c>
      <c r="AD35" s="22" t="n">
        <f aca="false">(Driver_Series!AD7+AD34)</f>
        <v>485267.186156105</v>
      </c>
      <c r="AE35" s="22" t="n">
        <f aca="false">(Driver_Series!AE7+AE34)</f>
        <v>496518.579652718</v>
      </c>
      <c r="AF35" s="22" t="n">
        <f aca="false">(Driver_Series!AF7+AF34)</f>
        <v>507952.217776914</v>
      </c>
      <c r="AG35" s="22" t="n">
        <f aca="false">(Driver_Series!AG7+AG34)</f>
        <v>519569.345519132</v>
      </c>
      <c r="AH35" s="22" t="n">
        <f aca="false">(Driver_Series!AH7+AH34)</f>
        <v>531371.243914143</v>
      </c>
      <c r="AI35" s="22" t="n">
        <f aca="false">(Driver_Series!AI7+AI34)</f>
        <v>543359.229599709</v>
      </c>
      <c r="AJ35" s="22" t="n">
        <f aca="false">(Driver_Series!AJ7+AJ34)</f>
        <v>555534.654396556</v>
      </c>
      <c r="AK35" s="22" t="n">
        <f aca="false">(Driver_Series!AK7+AK34)</f>
        <v>567898.904909011</v>
      </c>
      <c r="AL35" s="22" t="n">
        <f aca="false">(Driver_Series!AL7+AL34)</f>
        <v>580453.402145691</v>
      </c>
      <c r="AM35" s="22" t="n">
        <f aca="false">(Driver_Series!AM7+AM34)</f>
        <v>593199.601159644</v>
      </c>
      <c r="AN35" s="22" t="n">
        <f aca="false">(Driver_Series!AN7+AN34)</f>
        <v>606138.99070736</v>
      </c>
      <c r="AO35" s="22" t="n">
        <f aca="false">(Driver_Series!AO7+AO34)</f>
        <v>619273.092926104</v>
      </c>
    </row>
    <row r="36" customFormat="false" ht="15" hidden="false" customHeight="false" outlineLevel="0" collapsed="false">
      <c r="A36" s="2" t="s">
        <v>319</v>
      </c>
      <c r="B36" s="2" t="s">
        <v>320</v>
      </c>
      <c r="C36" s="2" t="s">
        <v>130</v>
      </c>
      <c r="D36" s="2" t="s">
        <v>54</v>
      </c>
      <c r="E36" s="2" t="s">
        <v>55</v>
      </c>
      <c r="F36" s="17" t="s">
        <v>321</v>
      </c>
      <c r="G36" s="2" t="s">
        <v>322</v>
      </c>
      <c r="H36" s="2" t="s">
        <v>323</v>
      </c>
      <c r="J36" s="22" t="n">
        <f aca="false">SUMPRODUCT((Timeline!$J$9:$AO$9&lt;=Timeline!J$9)*(Timeline!$J$9:$AO$9&gt;Timeline!J$9-asset_life_q),$J35:$AO35)/asset_life_q</f>
        <v>36423.3333333333</v>
      </c>
      <c r="K36" s="22" t="n">
        <f aca="false">SUMPRODUCT((Timeline!$J$9:$AO$9&lt;=Timeline!K$9)*(Timeline!$J$9:$AO$9&gt;Timeline!K$9-asset_life_q),$J35:$AO35)/asset_life_q</f>
        <v>73073.7384880556</v>
      </c>
      <c r="L36" s="22" t="n">
        <f aca="false">SUMPRODUCT((Timeline!$J$9:$AO$9&lt;=Timeline!L$9)*(Timeline!$J$9:$AO$9&gt;Timeline!L$9-asset_life_q),$J35:$AO35)/asset_life_q</f>
        <v>109995.663045013</v>
      </c>
      <c r="M36" s="22" t="n">
        <f aca="false">SUMPRODUCT((Timeline!$J$9:$AO$9&lt;=Timeline!M$9)*(Timeline!$J$9:$AO$9&gt;Timeline!M$9-asset_life_q),$J35:$AO35)/asset_life_q</f>
        <v>147232.845178784</v>
      </c>
      <c r="N36" s="22" t="n">
        <f aca="false">SUMPRODUCT((Timeline!$J$9:$AO$9&lt;=Timeline!N$9)*(Timeline!$J$9:$AO$9&gt;Timeline!N$9-asset_life_q),$J35:$AO35)/asset_life_q</f>
        <v>172332.207782229</v>
      </c>
      <c r="O36" s="22" t="n">
        <f aca="false">SUMPRODUCT((Timeline!$J$9:$AO$9&lt;=Timeline!O$9)*(Timeline!$J$9:$AO$9&gt;Timeline!O$9-asset_life_q),$J35:$AO35)/asset_life_q</f>
        <v>197836.065783924</v>
      </c>
      <c r="P36" s="22" t="n">
        <f aca="false">SUMPRODUCT((Timeline!$J$9:$AO$9&lt;=Timeline!P$9)*(Timeline!$J$9:$AO$9&gt;Timeline!P$9-asset_life_q),$J35:$AO35)/asset_life_q</f>
        <v>223786.120184075</v>
      </c>
      <c r="Q36" s="22" t="n">
        <f aca="false">SUMPRODUCT((Timeline!$J$9:$AO$9&lt;=Timeline!Q$9)*(Timeline!$J$9:$AO$9&gt;Timeline!Q$9-asset_life_q),$J35:$AO35)/asset_life_q</f>
        <v>250227.435873238</v>
      </c>
      <c r="R36" s="22" t="n">
        <f aca="false">SUMPRODUCT((Timeline!$J$9:$AO$9&lt;=Timeline!R$9)*(Timeline!$J$9:$AO$9&gt;Timeline!R$9-asset_life_q),$J35:$AO35)/asset_life_q</f>
        <v>331367.13745019</v>
      </c>
      <c r="S36" s="22" t="n">
        <f aca="false">SUMPRODUCT((Timeline!$J$9:$AO$9&lt;=Timeline!S$9)*(Timeline!$J$9:$AO$9&gt;Timeline!S$9-asset_life_q),$J35:$AO35)/asset_life_q</f>
        <v>413078.489425398</v>
      </c>
      <c r="T36" s="22" t="n">
        <f aca="false">SUMPRODUCT((Timeline!$J$9:$AO$9&lt;=Timeline!T$9)*(Timeline!$J$9:$AO$9&gt;Timeline!T$9-asset_life_q),$J35:$AO35)/asset_life_q</f>
        <v>495404.959954893</v>
      </c>
      <c r="U36" s="22" t="n">
        <f aca="false">SUMPRODUCT((Timeline!$J$9:$AO$9&lt;=Timeline!U$9)*(Timeline!$J$9:$AO$9&gt;Timeline!U$9-asset_life_q),$J35:$AO35)/asset_life_q</f>
        <v>578385.401498182</v>
      </c>
      <c r="V36" s="22" t="n">
        <f aca="false">SUMPRODUCT((Timeline!$J$9:$AO$9&lt;=Timeline!V$9)*(Timeline!$J$9:$AO$9&gt;Timeline!V$9-asset_life_q),$J35:$AO35)/asset_life_q</f>
        <v>575634.886110091</v>
      </c>
      <c r="W36" s="22" t="n">
        <f aca="false">SUMPRODUCT((Timeline!$J$9:$AO$9&lt;=Timeline!W$9)*(Timeline!$J$9:$AO$9&gt;Timeline!W$9-asset_life_q),$J35:$AO35)/asset_life_q</f>
        <v>573391.785506279</v>
      </c>
      <c r="X36" s="22" t="n">
        <f aca="false">SUMPRODUCT((Timeline!$J$9:$AO$9&lt;=Timeline!X$9)*(Timeline!$J$9:$AO$9&gt;Timeline!X$9-asset_life_q),$J35:$AO35)/asset_life_q</f>
        <v>571649.128848903</v>
      </c>
      <c r="Y36" s="22" t="n">
        <f aca="false">SUMPRODUCT((Timeline!$J$9:$AO$9&lt;=Timeline!Y$9)*(Timeline!$J$9:$AO$9&gt;Timeline!Y$9-asset_life_q),$J35:$AO35)/asset_life_q</f>
        <v>570400.280566464</v>
      </c>
      <c r="Z36" s="22" t="n">
        <f aca="false">SUMPRODUCT((Timeline!$J$9:$AO$9&lt;=Timeline!Z$9)*(Timeline!$J$9:$AO$9&gt;Timeline!Z$9-asset_life_q),$J35:$AO35)/asset_life_q</f>
        <v>582139.288527518</v>
      </c>
      <c r="AA36" s="22" t="n">
        <f aca="false">SUMPRODUCT((Timeline!$J$9:$AO$9&lt;=Timeline!AA$9)*(Timeline!$J$9:$AO$9&gt;Timeline!AA$9-asset_life_q),$J35:$AO35)/asset_life_q</f>
        <v>594351.645032593</v>
      </c>
      <c r="AB36" s="22" t="n">
        <f aca="false">SUMPRODUCT((Timeline!$J$9:$AO$9&lt;=Timeline!AB$9)*(Timeline!$J$9:$AO$9&gt;Timeline!AB$9-asset_life_q),$J35:$AO35)/asset_life_q</f>
        <v>607010.451974782</v>
      </c>
      <c r="AC36" s="22" t="n">
        <f aca="false">SUMPRODUCT((Timeline!$J$9:$AO$9&lt;=Timeline!AC$9)*(Timeline!$J$9:$AO$9&gt;Timeline!AC$9-asset_life_q),$J35:$AO35)/asset_life_q</f>
        <v>620085.538685975</v>
      </c>
      <c r="AD36" s="22" t="n">
        <f aca="false">SUMPRODUCT((Timeline!$J$9:$AO$9&lt;=Timeline!AD$9)*(Timeline!$J$9:$AO$9&gt;Timeline!AD$9-asset_life_q),$J35:$AO35)/asset_life_q</f>
        <v>579384.769288699</v>
      </c>
      <c r="AE36" s="22" t="n">
        <f aca="false">SUMPRODUCT((Timeline!$J$9:$AO$9&lt;=Timeline!AE$9)*(Timeline!$J$9:$AO$9&gt;Timeline!AE$9-asset_life_q),$J35:$AO35)/asset_life_q</f>
        <v>539049.965617884</v>
      </c>
      <c r="AF36" s="22" t="n">
        <f aca="false">SUMPRODUCT((Timeline!$J$9:$AO$9&lt;=Timeline!AF$9)*(Timeline!$J$9:$AO$9&gt;Timeline!AF$9-asset_life_q),$J35:$AO35)/asset_life_q</f>
        <v>499052.846569799</v>
      </c>
      <c r="AG36" s="22" t="n">
        <f aca="false">SUMPRODUCT((Timeline!$J$9:$AO$9&lt;=Timeline!AG$9)*(Timeline!$J$9:$AO$9&gt;Timeline!AG$9-asset_life_q),$J35:$AO35)/asset_life_q</f>
        <v>459369.850486437</v>
      </c>
      <c r="AH36" s="22" t="n">
        <f aca="false">SUMPRODUCT((Timeline!$J$9:$AO$9&lt;=Timeline!AH$9)*(Timeline!$J$9:$AO$9&gt;Timeline!AH$9-asset_life_q),$J35:$AO35)/asset_life_q</f>
        <v>469977.96953404</v>
      </c>
      <c r="AI36" s="22" t="n">
        <f aca="false">SUMPRODUCT((Timeline!$J$9:$AO$9&lt;=Timeline!AI$9)*(Timeline!$J$9:$AO$9&gt;Timeline!AI$9-asset_life_q),$J35:$AO35)/asset_life_q</f>
        <v>480850.600783106</v>
      </c>
      <c r="AJ36" s="22" t="n">
        <f aca="false">SUMPRODUCT((Timeline!$J$9:$AO$9&lt;=Timeline!AJ$9)*(Timeline!$J$9:$AO$9&gt;Timeline!AJ$9-asset_life_q),$J35:$AO35)/asset_life_q</f>
        <v>491965.887416571</v>
      </c>
      <c r="AK36" s="22" t="n">
        <f aca="false">SUMPRODUCT((Timeline!$J$9:$AO$9&lt;=Timeline!AK$9)*(Timeline!$J$9:$AO$9&gt;Timeline!AK$9-asset_life_q),$J35:$AO35)/asset_life_q</f>
        <v>503302.462307656</v>
      </c>
      <c r="AL36" s="22" t="n">
        <f aca="false">SUMPRODUCT((Timeline!$J$9:$AO$9&lt;=Timeline!AL$9)*(Timeline!$J$9:$AO$9&gt;Timeline!AL$9-asset_life_q),$J35:$AO35)/asset_life_q</f>
        <v>514835.208588632</v>
      </c>
      <c r="AM36" s="22" t="n">
        <f aca="false">SUMPRODUCT((Timeline!$J$9:$AO$9&lt;=Timeline!AM$9)*(Timeline!$J$9:$AO$9&gt;Timeline!AM$9-asset_life_q),$J35:$AO35)/asset_life_q</f>
        <v>526552.294178498</v>
      </c>
      <c r="AN36" s="22" t="n">
        <f aca="false">SUMPRODUCT((Timeline!$J$9:$AO$9&lt;=Timeline!AN$9)*(Timeline!$J$9:$AO$9&gt;Timeline!AN$9-asset_life_q),$J35:$AO35)/asset_life_q</f>
        <v>538455.015395106</v>
      </c>
      <c r="AO36" s="22" t="n">
        <f aca="false">SUMPRODUCT((Timeline!$J$9:$AO$9&lt;=Timeline!AO$9)*(Timeline!$J$9:$AO$9&gt;Timeline!AO$9-asset_life_q),$J35:$AO35)/asset_life_q</f>
        <v>550544.704071924</v>
      </c>
    </row>
    <row r="37" customFormat="false" ht="15" hidden="false" customHeight="false" outlineLevel="0" collapsed="false">
      <c r="A37" s="2" t="s">
        <v>324</v>
      </c>
      <c r="B37" s="2" t="s">
        <v>325</v>
      </c>
      <c r="C37" s="2" t="s">
        <v>130</v>
      </c>
      <c r="D37" s="2" t="s">
        <v>54</v>
      </c>
      <c r="E37" s="2" t="s">
        <v>55</v>
      </c>
      <c r="F37" s="17" t="s">
        <v>326</v>
      </c>
      <c r="G37" s="2" t="s">
        <v>327</v>
      </c>
      <c r="H37" s="2" t="s">
        <v>328</v>
      </c>
      <c r="J37" s="22" t="n">
        <f aca="false">(J32-J36)</f>
        <v>-757583.333333333</v>
      </c>
      <c r="K37" s="22" t="n">
        <f aca="false">(K32-K36)</f>
        <v>-809365.565231343</v>
      </c>
      <c r="L37" s="22" t="n">
        <f aca="false">(L32-L36)</f>
        <v>-876534.75135236</v>
      </c>
      <c r="M37" s="22" t="n">
        <f aca="false">(M32-M36)</f>
        <v>-969572.247698362</v>
      </c>
      <c r="N37" s="22" t="n">
        <f aca="false">(N32-N36)</f>
        <v>-1098825.97189765</v>
      </c>
      <c r="O37" s="22" t="n">
        <f aca="false">(O32-O36)</f>
        <v>-1119918.81352154</v>
      </c>
      <c r="P37" s="22" t="n">
        <f aca="false">(P32-P36)</f>
        <v>-1113271.75235562</v>
      </c>
      <c r="Q37" s="22" t="n">
        <f aca="false">(Q32-Q36)</f>
        <v>-1076610.82967458</v>
      </c>
      <c r="R37" s="22" t="n">
        <f aca="false">(R32-R36)</f>
        <v>-2647233.74665268</v>
      </c>
      <c r="S37" s="22" t="n">
        <f aca="false">(S32-S36)</f>
        <v>-2611339.59356567</v>
      </c>
      <c r="T37" s="22" t="n">
        <f aca="false">(T32-T36)</f>
        <v>-2546536.10818602</v>
      </c>
      <c r="U37" s="22" t="n">
        <f aca="false">(U32-U36)</f>
        <v>-2455968.76182252</v>
      </c>
      <c r="V37" s="22" t="n">
        <f aca="false">(V32-V36)</f>
        <v>-778529.437058439</v>
      </c>
      <c r="W37" s="22" t="n">
        <f aca="false">(W32-W36)</f>
        <v>-492906.913776596</v>
      </c>
      <c r="X37" s="22" t="n">
        <f aca="false">(X32-X36)</f>
        <v>-182222.534259936</v>
      </c>
      <c r="Y37" s="22" t="n">
        <f aca="false">(Y32-Y36)</f>
        <v>153298.512002539</v>
      </c>
      <c r="Z37" s="22" t="n">
        <f aca="false">(Z32-Z36)</f>
        <v>423823.213050197</v>
      </c>
      <c r="AA37" s="22" t="n">
        <f aca="false">(AA32-AA36)</f>
        <v>877905.893147729</v>
      </c>
      <c r="AB37" s="22" t="n">
        <f aca="false">(AB32-AB36)</f>
        <v>1296701.91688692</v>
      </c>
      <c r="AC37" s="22" t="n">
        <f aca="false">(AC32-AC36)</f>
        <v>1770299.1600033</v>
      </c>
      <c r="AD37" s="22" t="n">
        <f aca="false">(AD32-AD36)</f>
        <v>2222949.24495632</v>
      </c>
      <c r="AE37" s="22" t="n">
        <f aca="false">(AE32-AE36)</f>
        <v>2770571.58440027</v>
      </c>
      <c r="AF37" s="22" t="n">
        <f aca="false">(AF32-AF36)</f>
        <v>3283257.40917561</v>
      </c>
      <c r="AG37" s="22" t="n">
        <f aca="false">(AG32-AG36)</f>
        <v>3851094.9141745</v>
      </c>
      <c r="AH37" s="22" t="n">
        <f aca="false">(AH32-AH36)</f>
        <v>4294173.39308454</v>
      </c>
      <c r="AI37" s="22" t="n">
        <f aca="false">(AI32-AI36)</f>
        <v>4832587.35726705</v>
      </c>
      <c r="AJ37" s="22" t="n">
        <f aca="false">(AJ32-AJ36)</f>
        <v>5336428.16530798</v>
      </c>
      <c r="AK37" s="22" t="n">
        <f aca="false">(AK32-AK36)</f>
        <v>5895788.25096485</v>
      </c>
      <c r="AL37" s="22" t="n">
        <f aca="false">(AL32-AL36)</f>
        <v>6380765.33485477</v>
      </c>
      <c r="AM37" s="22" t="n">
        <f aca="false">(AM32-AM36)</f>
        <v>6961445.36288223</v>
      </c>
      <c r="AN37" s="22" t="n">
        <f aca="false">(AN32-AN36)</f>
        <v>7507902.6362486</v>
      </c>
      <c r="AO37" s="22" t="n">
        <f aca="false">(AO32-AO36)</f>
        <v>8110212.87859117</v>
      </c>
    </row>
    <row r="38" customFormat="false" ht="15" hidden="false" customHeight="false" outlineLevel="0" collapsed="false">
      <c r="A38" s="2" t="s">
        <v>329</v>
      </c>
      <c r="B38" s="2" t="s">
        <v>330</v>
      </c>
      <c r="C38" s="2" t="s">
        <v>139</v>
      </c>
      <c r="D38" s="2" t="s">
        <v>54</v>
      </c>
      <c r="E38" s="2" t="s">
        <v>55</v>
      </c>
      <c r="F38" s="17" t="s">
        <v>331</v>
      </c>
      <c r="G38" s="2" t="s">
        <v>332</v>
      </c>
      <c r="H38" s="2"/>
      <c r="J38" s="22" t="n">
        <f aca="false">(0+SUM($J37:J37))</f>
        <v>-757583.333333333</v>
      </c>
      <c r="K38" s="22" t="n">
        <f aca="false">(0+SUM($J37:K37))</f>
        <v>-1566948.89856468</v>
      </c>
      <c r="L38" s="22" t="n">
        <f aca="false">(0+SUM($J37:L37))</f>
        <v>-2443483.64991704</v>
      </c>
      <c r="M38" s="22" t="n">
        <f aca="false">(0+SUM($J37:M37))</f>
        <v>-3413055.8976154</v>
      </c>
      <c r="N38" s="22" t="n">
        <f aca="false">(0+SUM($J37:N37))</f>
        <v>-4511881.86951304</v>
      </c>
      <c r="O38" s="22" t="n">
        <f aca="false">(0+SUM($J37:O37))</f>
        <v>-5631800.68303458</v>
      </c>
      <c r="P38" s="22" t="n">
        <f aca="false">(0+SUM($J37:P37))</f>
        <v>-6745072.43539021</v>
      </c>
      <c r="Q38" s="22" t="n">
        <f aca="false">(0+SUM($J37:Q37))</f>
        <v>-7821683.26506479</v>
      </c>
      <c r="R38" s="22" t="n">
        <f aca="false">(0+SUM($J37:R37))</f>
        <v>-10468917.0117175</v>
      </c>
      <c r="S38" s="22" t="n">
        <f aca="false">(0+SUM($J37:S37))</f>
        <v>-13080256.6052831</v>
      </c>
      <c r="T38" s="22" t="n">
        <f aca="false">(0+SUM($J37:T37))</f>
        <v>-15626792.7134692</v>
      </c>
      <c r="U38" s="22" t="n">
        <f aca="false">(0+SUM($J37:U37))</f>
        <v>-18082761.4752917</v>
      </c>
      <c r="V38" s="22" t="n">
        <f aca="false">(0+SUM($J37:V37))</f>
        <v>-18861290.9123501</v>
      </c>
      <c r="W38" s="22" t="n">
        <f aca="false">(0+SUM($J37:W37))</f>
        <v>-19354197.8261267</v>
      </c>
      <c r="X38" s="22" t="n">
        <f aca="false">(0+SUM($J37:X37))</f>
        <v>-19536420.3603866</v>
      </c>
      <c r="Y38" s="22" t="n">
        <f aca="false">(0+SUM($J37:Y37))</f>
        <v>-19383121.8483841</v>
      </c>
      <c r="Z38" s="22" t="n">
        <f aca="false">(0+SUM($J37:Z37))</f>
        <v>-18959298.6353339</v>
      </c>
      <c r="AA38" s="22" t="n">
        <f aca="false">(0+SUM($J37:AA37))</f>
        <v>-18081392.7421862</v>
      </c>
      <c r="AB38" s="22" t="n">
        <f aca="false">(0+SUM($J37:AB37))</f>
        <v>-16784690.8252993</v>
      </c>
      <c r="AC38" s="22" t="n">
        <f aca="false">(0+SUM($J37:AC37))</f>
        <v>-15014391.665296</v>
      </c>
      <c r="AD38" s="22" t="n">
        <f aca="false">(0+SUM($J37:AD37))</f>
        <v>-12791442.4203396</v>
      </c>
      <c r="AE38" s="22" t="n">
        <f aca="false">(0+SUM($J37:AE37))</f>
        <v>-10020870.8359394</v>
      </c>
      <c r="AF38" s="22" t="n">
        <f aca="false">(0+SUM($J37:AF37))</f>
        <v>-6737613.42676377</v>
      </c>
      <c r="AG38" s="22" t="n">
        <f aca="false">(0+SUM($J37:AG37))</f>
        <v>-2886518.51258926</v>
      </c>
      <c r="AH38" s="22" t="n">
        <f aca="false">(0+SUM($J37:AH37))</f>
        <v>1407654.88049527</v>
      </c>
      <c r="AI38" s="22" t="n">
        <f aca="false">(0+SUM($J37:AI37))</f>
        <v>6240242.23776232</v>
      </c>
      <c r="AJ38" s="22" t="n">
        <f aca="false">(0+SUM($J37:AJ37))</f>
        <v>11576670.4030703</v>
      </c>
      <c r="AK38" s="22" t="n">
        <f aca="false">(0+SUM($J37:AK37))</f>
        <v>17472458.6540352</v>
      </c>
      <c r="AL38" s="22" t="n">
        <f aca="false">(0+SUM($J37:AL37))</f>
        <v>23853223.9888899</v>
      </c>
      <c r="AM38" s="22" t="n">
        <f aca="false">(0+SUM($J37:AM37))</f>
        <v>30814669.3517722</v>
      </c>
      <c r="AN38" s="22" t="n">
        <f aca="false">(0+SUM($J37:AN37))</f>
        <v>38322571.9880208</v>
      </c>
      <c r="AO38" s="22" t="n">
        <f aca="false">(0+SUM($J37:AO37))</f>
        <v>46432784.8666119</v>
      </c>
    </row>
    <row r="39" customFormat="false" ht="15" hidden="false" customHeight="false" outlineLevel="0" collapsed="false">
      <c r="A39" s="2" t="s">
        <v>333</v>
      </c>
      <c r="B39" s="2" t="s">
        <v>334</v>
      </c>
      <c r="C39" s="2" t="s">
        <v>139</v>
      </c>
      <c r="D39" s="2" t="s">
        <v>54</v>
      </c>
      <c r="E39" s="2" t="s">
        <v>55</v>
      </c>
      <c r="F39" s="17" t="s">
        <v>335</v>
      </c>
      <c r="G39" s="2" t="s">
        <v>336</v>
      </c>
      <c r="H39" s="2"/>
      <c r="J39" s="22" t="n">
        <f aca="false">MAX(0,MAX($J38:J38))</f>
        <v>0</v>
      </c>
      <c r="K39" s="22" t="n">
        <f aca="false">MAX(0,MAX($J38:K38))</f>
        <v>0</v>
      </c>
      <c r="L39" s="22" t="n">
        <f aca="false">MAX(0,MAX($J38:L38))</f>
        <v>0</v>
      </c>
      <c r="M39" s="22" t="n">
        <f aca="false">MAX(0,MAX($J38:M38))</f>
        <v>0</v>
      </c>
      <c r="N39" s="22" t="n">
        <f aca="false">MAX(0,MAX($J38:N38))</f>
        <v>0</v>
      </c>
      <c r="O39" s="22" t="n">
        <f aca="false">MAX(0,MAX($J38:O38))</f>
        <v>0</v>
      </c>
      <c r="P39" s="22" t="n">
        <f aca="false">MAX(0,MAX($J38:P38))</f>
        <v>0</v>
      </c>
      <c r="Q39" s="22" t="n">
        <f aca="false">MAX(0,MAX($J38:Q38))</f>
        <v>0</v>
      </c>
      <c r="R39" s="22" t="n">
        <f aca="false">MAX(0,MAX($J38:R38))</f>
        <v>0</v>
      </c>
      <c r="S39" s="22" t="n">
        <f aca="false">MAX(0,MAX($J38:S38))</f>
        <v>0</v>
      </c>
      <c r="T39" s="22" t="n">
        <f aca="false">MAX(0,MAX($J38:T38))</f>
        <v>0</v>
      </c>
      <c r="U39" s="22" t="n">
        <f aca="false">MAX(0,MAX($J38:U38))</f>
        <v>0</v>
      </c>
      <c r="V39" s="22" t="n">
        <f aca="false">MAX(0,MAX($J38:V38))</f>
        <v>0</v>
      </c>
      <c r="W39" s="22" t="n">
        <f aca="false">MAX(0,MAX($J38:W38))</f>
        <v>0</v>
      </c>
      <c r="X39" s="22" t="n">
        <f aca="false">MAX(0,MAX($J38:X38))</f>
        <v>0</v>
      </c>
      <c r="Y39" s="22" t="n">
        <f aca="false">MAX(0,MAX($J38:Y38))</f>
        <v>0</v>
      </c>
      <c r="Z39" s="22" t="n">
        <f aca="false">MAX(0,MAX($J38:Z38))</f>
        <v>0</v>
      </c>
      <c r="AA39" s="22" t="n">
        <f aca="false">MAX(0,MAX($J38:AA38))</f>
        <v>0</v>
      </c>
      <c r="AB39" s="22" t="n">
        <f aca="false">MAX(0,MAX($J38:AB38))</f>
        <v>0</v>
      </c>
      <c r="AC39" s="22" t="n">
        <f aca="false">MAX(0,MAX($J38:AC38))</f>
        <v>0</v>
      </c>
      <c r="AD39" s="22" t="n">
        <f aca="false">MAX(0,MAX($J38:AD38))</f>
        <v>0</v>
      </c>
      <c r="AE39" s="22" t="n">
        <f aca="false">MAX(0,MAX($J38:AE38))</f>
        <v>0</v>
      </c>
      <c r="AF39" s="22" t="n">
        <f aca="false">MAX(0,MAX($J38:AF38))</f>
        <v>0</v>
      </c>
      <c r="AG39" s="22" t="n">
        <f aca="false">MAX(0,MAX($J38:AG38))</f>
        <v>0</v>
      </c>
      <c r="AH39" s="22" t="n">
        <f aca="false">MAX(0,MAX($J38:AH38))</f>
        <v>1407654.88049527</v>
      </c>
      <c r="AI39" s="22" t="n">
        <f aca="false">MAX(0,MAX($J38:AI38))</f>
        <v>6240242.23776232</v>
      </c>
      <c r="AJ39" s="22" t="n">
        <f aca="false">MAX(0,MAX($J38:AJ38))</f>
        <v>11576670.4030703</v>
      </c>
      <c r="AK39" s="22" t="n">
        <f aca="false">MAX(0,MAX($J38:AK38))</f>
        <v>17472458.6540352</v>
      </c>
      <c r="AL39" s="22" t="n">
        <f aca="false">MAX(0,MAX($J38:AL38))</f>
        <v>23853223.9888899</v>
      </c>
      <c r="AM39" s="22" t="n">
        <f aca="false">MAX(0,MAX($J38:AM38))</f>
        <v>30814669.3517722</v>
      </c>
      <c r="AN39" s="22" t="n">
        <f aca="false">MAX(0,MAX($J38:AN38))</f>
        <v>38322571.9880208</v>
      </c>
      <c r="AO39" s="22" t="n">
        <f aca="false">MAX(0,MAX($J38:AO38))</f>
        <v>46432784.8666119</v>
      </c>
    </row>
    <row r="40" customFormat="false" ht="15" hidden="false" customHeight="false" outlineLevel="0" collapsed="false">
      <c r="A40" s="2" t="s">
        <v>337</v>
      </c>
      <c r="B40" s="2" t="s">
        <v>338</v>
      </c>
      <c r="C40" s="2" t="s">
        <v>139</v>
      </c>
      <c r="D40" s="2" t="s">
        <v>54</v>
      </c>
      <c r="E40" s="2" t="s">
        <v>55</v>
      </c>
      <c r="F40" s="17" t="s">
        <v>339</v>
      </c>
      <c r="G40" s="2" t="s">
        <v>340</v>
      </c>
      <c r="H40" s="2"/>
      <c r="J40" s="22" t="n">
        <f aca="false">(J39-IF(Timeline!J$9&gt;1,INDEX($J39:$AO39,1,Timeline!J$9-1),0))</f>
        <v>0</v>
      </c>
      <c r="K40" s="22" t="n">
        <f aca="false">(K39-IF(Timeline!K$9&gt;1,INDEX($J39:$AO39,1,Timeline!K$9-1),0))</f>
        <v>0</v>
      </c>
      <c r="L40" s="22" t="n">
        <f aca="false">(L39-IF(Timeline!L$9&gt;1,INDEX($J39:$AO39,1,Timeline!L$9-1),0))</f>
        <v>0</v>
      </c>
      <c r="M40" s="22" t="n">
        <f aca="false">(M39-IF(Timeline!M$9&gt;1,INDEX($J39:$AO39,1,Timeline!M$9-1),0))</f>
        <v>0</v>
      </c>
      <c r="N40" s="22" t="n">
        <f aca="false">(N39-IF(Timeline!N$9&gt;1,INDEX($J39:$AO39,1,Timeline!N$9-1),0))</f>
        <v>0</v>
      </c>
      <c r="O40" s="22" t="n">
        <f aca="false">(O39-IF(Timeline!O$9&gt;1,INDEX($J39:$AO39,1,Timeline!O$9-1),0))</f>
        <v>0</v>
      </c>
      <c r="P40" s="22" t="n">
        <f aca="false">(P39-IF(Timeline!P$9&gt;1,INDEX($J39:$AO39,1,Timeline!P$9-1),0))</f>
        <v>0</v>
      </c>
      <c r="Q40" s="22" t="n">
        <f aca="false">(Q39-IF(Timeline!Q$9&gt;1,INDEX($J39:$AO39,1,Timeline!Q$9-1),0))</f>
        <v>0</v>
      </c>
      <c r="R40" s="22" t="n">
        <f aca="false">(R39-IF(Timeline!R$9&gt;1,INDEX($J39:$AO39,1,Timeline!R$9-1),0))</f>
        <v>0</v>
      </c>
      <c r="S40" s="22" t="n">
        <f aca="false">(S39-IF(Timeline!S$9&gt;1,INDEX($J39:$AO39,1,Timeline!S$9-1),0))</f>
        <v>0</v>
      </c>
      <c r="T40" s="22" t="n">
        <f aca="false">(T39-IF(Timeline!T$9&gt;1,INDEX($J39:$AO39,1,Timeline!T$9-1),0))</f>
        <v>0</v>
      </c>
      <c r="U40" s="22" t="n">
        <f aca="false">(U39-IF(Timeline!U$9&gt;1,INDEX($J39:$AO39,1,Timeline!U$9-1),0))</f>
        <v>0</v>
      </c>
      <c r="V40" s="22" t="n">
        <f aca="false">(V39-IF(Timeline!V$9&gt;1,INDEX($J39:$AO39,1,Timeline!V$9-1),0))</f>
        <v>0</v>
      </c>
      <c r="W40" s="22" t="n">
        <f aca="false">(W39-IF(Timeline!W$9&gt;1,INDEX($J39:$AO39,1,Timeline!W$9-1),0))</f>
        <v>0</v>
      </c>
      <c r="X40" s="22" t="n">
        <f aca="false">(X39-IF(Timeline!X$9&gt;1,INDEX($J39:$AO39,1,Timeline!X$9-1),0))</f>
        <v>0</v>
      </c>
      <c r="Y40" s="22" t="n">
        <f aca="false">(Y39-IF(Timeline!Y$9&gt;1,INDEX($J39:$AO39,1,Timeline!Y$9-1),0))</f>
        <v>0</v>
      </c>
      <c r="Z40" s="22" t="n">
        <f aca="false">(Z39-IF(Timeline!Z$9&gt;1,INDEX($J39:$AO39,1,Timeline!Z$9-1),0))</f>
        <v>0</v>
      </c>
      <c r="AA40" s="22" t="n">
        <f aca="false">(AA39-IF(Timeline!AA$9&gt;1,INDEX($J39:$AO39,1,Timeline!AA$9-1),0))</f>
        <v>0</v>
      </c>
      <c r="AB40" s="22" t="n">
        <f aca="false">(AB39-IF(Timeline!AB$9&gt;1,INDEX($J39:$AO39,1,Timeline!AB$9-1),0))</f>
        <v>0</v>
      </c>
      <c r="AC40" s="22" t="n">
        <f aca="false">(AC39-IF(Timeline!AC$9&gt;1,INDEX($J39:$AO39,1,Timeline!AC$9-1),0))</f>
        <v>0</v>
      </c>
      <c r="AD40" s="22" t="n">
        <f aca="false">(AD39-IF(Timeline!AD$9&gt;1,INDEX($J39:$AO39,1,Timeline!AD$9-1),0))</f>
        <v>0</v>
      </c>
      <c r="AE40" s="22" t="n">
        <f aca="false">(AE39-IF(Timeline!AE$9&gt;1,INDEX($J39:$AO39,1,Timeline!AE$9-1),0))</f>
        <v>0</v>
      </c>
      <c r="AF40" s="22" t="n">
        <f aca="false">(AF39-IF(Timeline!AF$9&gt;1,INDEX($J39:$AO39,1,Timeline!AF$9-1),0))</f>
        <v>0</v>
      </c>
      <c r="AG40" s="22" t="n">
        <f aca="false">(AG39-IF(Timeline!AG$9&gt;1,INDEX($J39:$AO39,1,Timeline!AG$9-1),0))</f>
        <v>0</v>
      </c>
      <c r="AH40" s="22" t="n">
        <f aca="false">(AH39-IF(Timeline!AH$9&gt;1,INDEX($J39:$AO39,1,Timeline!AH$9-1),0))</f>
        <v>1407654.88049527</v>
      </c>
      <c r="AI40" s="22" t="n">
        <f aca="false">(AI39-IF(Timeline!AI$9&gt;1,INDEX($J39:$AO39,1,Timeline!AI$9-1),0))</f>
        <v>4832587.35726705</v>
      </c>
      <c r="AJ40" s="22" t="n">
        <f aca="false">(AJ39-IF(Timeline!AJ$9&gt;1,INDEX($J39:$AO39,1,Timeline!AJ$9-1),0))</f>
        <v>5336428.16530798</v>
      </c>
      <c r="AK40" s="22" t="n">
        <f aca="false">(AK39-IF(Timeline!AK$9&gt;1,INDEX($J39:$AO39,1,Timeline!AK$9-1),0))</f>
        <v>5895788.25096485</v>
      </c>
      <c r="AL40" s="22" t="n">
        <f aca="false">(AL39-IF(Timeline!AL$9&gt;1,INDEX($J39:$AO39,1,Timeline!AL$9-1),0))</f>
        <v>6380765.33485477</v>
      </c>
      <c r="AM40" s="22" t="n">
        <f aca="false">(AM39-IF(Timeline!AM$9&gt;1,INDEX($J39:$AO39,1,Timeline!AM$9-1),0))</f>
        <v>6961445.36288223</v>
      </c>
      <c r="AN40" s="22" t="n">
        <f aca="false">(AN39-IF(Timeline!AN$9&gt;1,INDEX($J39:$AO39,1,Timeline!AN$9-1),0))</f>
        <v>7507902.6362486</v>
      </c>
      <c r="AO40" s="22" t="n">
        <f aca="false">(AO39-IF(Timeline!AO$9&gt;1,INDEX($J39:$AO39,1,Timeline!AO$9-1),0))</f>
        <v>8110212.87859117</v>
      </c>
    </row>
    <row r="41" customFormat="false" ht="15" hidden="false" customHeight="false" outlineLevel="0" collapsed="false">
      <c r="A41" s="2" t="s">
        <v>341</v>
      </c>
      <c r="B41" s="2" t="s">
        <v>342</v>
      </c>
      <c r="C41" s="2" t="s">
        <v>139</v>
      </c>
      <c r="D41" s="2" t="s">
        <v>54</v>
      </c>
      <c r="E41" s="2" t="s">
        <v>55</v>
      </c>
      <c r="F41" s="17" t="s">
        <v>343</v>
      </c>
      <c r="G41" s="2" t="s">
        <v>344</v>
      </c>
      <c r="H41" s="2" t="s">
        <v>345</v>
      </c>
      <c r="J41" s="22" t="n">
        <f aca="false">(J40*tax_rate)</f>
        <v>0</v>
      </c>
      <c r="K41" s="22" t="n">
        <f aca="false">(K40*tax_rate)</f>
        <v>0</v>
      </c>
      <c r="L41" s="22" t="n">
        <f aca="false">(L40*tax_rate)</f>
        <v>0</v>
      </c>
      <c r="M41" s="22" t="n">
        <f aca="false">(M40*tax_rate)</f>
        <v>0</v>
      </c>
      <c r="N41" s="22" t="n">
        <f aca="false">(N40*tax_rate)</f>
        <v>0</v>
      </c>
      <c r="O41" s="22" t="n">
        <f aca="false">(O40*tax_rate)</f>
        <v>0</v>
      </c>
      <c r="P41" s="22" t="n">
        <f aca="false">(P40*tax_rate)</f>
        <v>0</v>
      </c>
      <c r="Q41" s="22" t="n">
        <f aca="false">(Q40*tax_rate)</f>
        <v>0</v>
      </c>
      <c r="R41" s="22" t="n">
        <f aca="false">(R40*tax_rate)</f>
        <v>0</v>
      </c>
      <c r="S41" s="22" t="n">
        <f aca="false">(S40*tax_rate)</f>
        <v>0</v>
      </c>
      <c r="T41" s="22" t="n">
        <f aca="false">(T40*tax_rate)</f>
        <v>0</v>
      </c>
      <c r="U41" s="22" t="n">
        <f aca="false">(U40*tax_rate)</f>
        <v>0</v>
      </c>
      <c r="V41" s="22" t="n">
        <f aca="false">(V40*tax_rate)</f>
        <v>0</v>
      </c>
      <c r="W41" s="22" t="n">
        <f aca="false">(W40*tax_rate)</f>
        <v>0</v>
      </c>
      <c r="X41" s="22" t="n">
        <f aca="false">(X40*tax_rate)</f>
        <v>0</v>
      </c>
      <c r="Y41" s="22" t="n">
        <f aca="false">(Y40*tax_rate)</f>
        <v>0</v>
      </c>
      <c r="Z41" s="22" t="n">
        <f aca="false">(Z40*tax_rate)</f>
        <v>0</v>
      </c>
      <c r="AA41" s="22" t="n">
        <f aca="false">(AA40*tax_rate)</f>
        <v>0</v>
      </c>
      <c r="AB41" s="22" t="n">
        <f aca="false">(AB40*tax_rate)</f>
        <v>0</v>
      </c>
      <c r="AC41" s="22" t="n">
        <f aca="false">(AC40*tax_rate)</f>
        <v>0</v>
      </c>
      <c r="AD41" s="22" t="n">
        <f aca="false">(AD40*tax_rate)</f>
        <v>0</v>
      </c>
      <c r="AE41" s="22" t="n">
        <f aca="false">(AE40*tax_rate)</f>
        <v>0</v>
      </c>
      <c r="AF41" s="22" t="n">
        <f aca="false">(AF40*tax_rate)</f>
        <v>0</v>
      </c>
      <c r="AG41" s="22" t="n">
        <f aca="false">(AG40*tax_rate)</f>
        <v>0</v>
      </c>
      <c r="AH41" s="22" t="n">
        <f aca="false">(AH40*tax_rate)</f>
        <v>351913.720123819</v>
      </c>
      <c r="AI41" s="22" t="n">
        <f aca="false">(AI40*tax_rate)</f>
        <v>1208146.83931676</v>
      </c>
      <c r="AJ41" s="22" t="n">
        <f aca="false">(AJ40*tax_rate)</f>
        <v>1334107.041327</v>
      </c>
      <c r="AK41" s="22" t="n">
        <f aca="false">(AK40*tax_rate)</f>
        <v>1473947.06274121</v>
      </c>
      <c r="AL41" s="22" t="n">
        <f aca="false">(AL40*tax_rate)</f>
        <v>1595191.33371369</v>
      </c>
      <c r="AM41" s="22" t="n">
        <f aca="false">(AM40*tax_rate)</f>
        <v>1740361.34072056</v>
      </c>
      <c r="AN41" s="22" t="n">
        <f aca="false">(AN40*tax_rate)</f>
        <v>1876975.65906215</v>
      </c>
      <c r="AO41" s="22" t="n">
        <f aca="false">(AO40*tax_rate)</f>
        <v>2027553.21964779</v>
      </c>
    </row>
    <row r="42" customFormat="false" ht="15" hidden="false" customHeight="false" outlineLevel="0" collapsed="false">
      <c r="A42" s="2" t="s">
        <v>346</v>
      </c>
      <c r="B42" s="2" t="s">
        <v>347</v>
      </c>
      <c r="C42" s="2" t="s">
        <v>139</v>
      </c>
      <c r="D42" s="2" t="s">
        <v>54</v>
      </c>
      <c r="E42" s="2" t="s">
        <v>55</v>
      </c>
      <c r="F42" s="17" t="s">
        <v>348</v>
      </c>
      <c r="G42" s="2" t="s">
        <v>349</v>
      </c>
      <c r="H42" s="2"/>
      <c r="J42" s="22" t="n">
        <f aca="false">(J37-J41)</f>
        <v>-757583.333333333</v>
      </c>
      <c r="K42" s="22" t="n">
        <f aca="false">(K37-K41)</f>
        <v>-809365.565231343</v>
      </c>
      <c r="L42" s="22" t="n">
        <f aca="false">(L37-L41)</f>
        <v>-876534.75135236</v>
      </c>
      <c r="M42" s="22" t="n">
        <f aca="false">(M37-M41)</f>
        <v>-969572.247698362</v>
      </c>
      <c r="N42" s="22" t="n">
        <f aca="false">(N37-N41)</f>
        <v>-1098825.97189765</v>
      </c>
      <c r="O42" s="22" t="n">
        <f aca="false">(O37-O41)</f>
        <v>-1119918.81352154</v>
      </c>
      <c r="P42" s="22" t="n">
        <f aca="false">(P37-P41)</f>
        <v>-1113271.75235562</v>
      </c>
      <c r="Q42" s="22" t="n">
        <f aca="false">(Q37-Q41)</f>
        <v>-1076610.82967458</v>
      </c>
      <c r="R42" s="22" t="n">
        <f aca="false">(R37-R41)</f>
        <v>-2647233.74665268</v>
      </c>
      <c r="S42" s="22" t="n">
        <f aca="false">(S37-S41)</f>
        <v>-2611339.59356567</v>
      </c>
      <c r="T42" s="22" t="n">
        <f aca="false">(T37-T41)</f>
        <v>-2546536.10818602</v>
      </c>
      <c r="U42" s="22" t="n">
        <f aca="false">(U37-U41)</f>
        <v>-2455968.76182252</v>
      </c>
      <c r="V42" s="22" t="n">
        <f aca="false">(V37-V41)</f>
        <v>-778529.437058439</v>
      </c>
      <c r="W42" s="22" t="n">
        <f aca="false">(W37-W41)</f>
        <v>-492906.913776596</v>
      </c>
      <c r="X42" s="22" t="n">
        <f aca="false">(X37-X41)</f>
        <v>-182222.534259936</v>
      </c>
      <c r="Y42" s="22" t="n">
        <f aca="false">(Y37-Y41)</f>
        <v>153298.512002539</v>
      </c>
      <c r="Z42" s="22" t="n">
        <f aca="false">(Z37-Z41)</f>
        <v>423823.213050197</v>
      </c>
      <c r="AA42" s="22" t="n">
        <f aca="false">(AA37-AA41)</f>
        <v>877905.893147729</v>
      </c>
      <c r="AB42" s="22" t="n">
        <f aca="false">(AB37-AB41)</f>
        <v>1296701.91688692</v>
      </c>
      <c r="AC42" s="22" t="n">
        <f aca="false">(AC37-AC41)</f>
        <v>1770299.1600033</v>
      </c>
      <c r="AD42" s="22" t="n">
        <f aca="false">(AD37-AD41)</f>
        <v>2222949.24495632</v>
      </c>
      <c r="AE42" s="22" t="n">
        <f aca="false">(AE37-AE41)</f>
        <v>2770571.58440027</v>
      </c>
      <c r="AF42" s="22" t="n">
        <f aca="false">(AF37-AF41)</f>
        <v>3283257.40917561</v>
      </c>
      <c r="AG42" s="22" t="n">
        <f aca="false">(AG37-AG41)</f>
        <v>3851094.9141745</v>
      </c>
      <c r="AH42" s="22" t="n">
        <f aca="false">(AH37-AH41)</f>
        <v>3942259.67296072</v>
      </c>
      <c r="AI42" s="22" t="n">
        <f aca="false">(AI37-AI41)</f>
        <v>3624440.51795029</v>
      </c>
      <c r="AJ42" s="22" t="n">
        <f aca="false">(AJ37-AJ41)</f>
        <v>4002321.12398099</v>
      </c>
      <c r="AK42" s="22" t="n">
        <f aca="false">(AK37-AK41)</f>
        <v>4421841.18822364</v>
      </c>
      <c r="AL42" s="22" t="n">
        <f aca="false">(AL37-AL41)</f>
        <v>4785574.00114107</v>
      </c>
      <c r="AM42" s="22" t="n">
        <f aca="false">(AM37-AM41)</f>
        <v>5221084.02216167</v>
      </c>
      <c r="AN42" s="22" t="n">
        <f aca="false">(AN37-AN41)</f>
        <v>5630926.97718645</v>
      </c>
      <c r="AO42" s="22" t="n">
        <f aca="false">(AO37-AO41)</f>
        <v>6082659.65894338</v>
      </c>
    </row>
    <row r="43" customFormat="false" ht="15" hidden="false" customHeight="false" outlineLevel="0" collapsed="false">
      <c r="A43" s="2" t="s">
        <v>350</v>
      </c>
      <c r="B43" s="2" t="s">
        <v>351</v>
      </c>
      <c r="C43" s="2" t="s">
        <v>139</v>
      </c>
      <c r="D43" s="2" t="s">
        <v>54</v>
      </c>
      <c r="E43" s="2" t="s">
        <v>55</v>
      </c>
      <c r="F43" s="17" t="s">
        <v>352</v>
      </c>
      <c r="G43" s="2" t="s">
        <v>353</v>
      </c>
      <c r="H43" s="2" t="s">
        <v>354</v>
      </c>
      <c r="J43" s="22" t="n">
        <f aca="false">((J18*ar_days)/days_per_quarter)</f>
        <v>1219068.49315069</v>
      </c>
      <c r="K43" s="22" t="n">
        <f aca="false">((K18*ar_days)/days_per_quarter)</f>
        <v>1308652.99254797</v>
      </c>
      <c r="L43" s="22" t="n">
        <f aca="false">((L18*ar_days)/days_per_quarter)</f>
        <v>1415772.97589543</v>
      </c>
      <c r="M43" s="22" t="n">
        <f aca="false">((M18*ar_days)/days_per_quarter)</f>
        <v>1540148.56784393</v>
      </c>
      <c r="N43" s="22" t="n">
        <f aca="false">((N18*ar_days)/days_per_quarter)</f>
        <v>1683036.20519487</v>
      </c>
      <c r="O43" s="22" t="n">
        <f aca="false">((O18*ar_days)/days_per_quarter)</f>
        <v>1842617.9513536</v>
      </c>
      <c r="P43" s="22" t="n">
        <f aca="false">((P18*ar_days)/days_per_quarter)</f>
        <v>2018651.59896357</v>
      </c>
      <c r="Q43" s="22" t="n">
        <f aca="false">((Q18*ar_days)/days_per_quarter)</f>
        <v>2212464.2718891</v>
      </c>
      <c r="R43" s="22" t="n">
        <f aca="false">((R18*ar_days)/days_per_quarter)</f>
        <v>2422238.43035907</v>
      </c>
      <c r="S43" s="22" t="n">
        <f aca="false">((S18*ar_days)/days_per_quarter)</f>
        <v>2647766.25871237</v>
      </c>
      <c r="T43" s="22" t="n">
        <f aca="false">((T18*ar_days)/days_per_quarter)</f>
        <v>2890443.16780057</v>
      </c>
      <c r="U43" s="22" t="n">
        <f aca="false">((U18*ar_days)/days_per_quarter)</f>
        <v>3148448.17050307</v>
      </c>
      <c r="V43" s="22" t="n">
        <f aca="false">((V18*ar_days)/days_per_quarter)</f>
        <v>3421604.88798599</v>
      </c>
      <c r="W43" s="22" t="n">
        <f aca="false">((W18*ar_days)/days_per_quarter)</f>
        <v>3711374.94611256</v>
      </c>
      <c r="X43" s="22" t="n">
        <f aca="false">((X18*ar_days)/days_per_quarter)</f>
        <v>4015930.3494238</v>
      </c>
      <c r="Y43" s="22" t="n">
        <f aca="false">((Y18*ar_days)/days_per_quarter)</f>
        <v>4335123.49203247</v>
      </c>
      <c r="Z43" s="22" t="n">
        <f aca="false">((Z18*ar_days)/days_per_quarter)</f>
        <v>4670480.44188446</v>
      </c>
      <c r="AA43" s="22" t="n">
        <f aca="false">((AA18*ar_days)/days_per_quarter)</f>
        <v>5016807.91499991</v>
      </c>
      <c r="AB43" s="22" t="n">
        <f aca="false">((AB18*ar_days)/days_per_quarter)</f>
        <v>5368975.43369001</v>
      </c>
      <c r="AC43" s="22" t="n">
        <f aca="false">((AC18*ar_days)/days_per_quarter)</f>
        <v>5727019.0291819</v>
      </c>
      <c r="AD43" s="22" t="n">
        <f aca="false">((AD18*ar_days)/days_per_quarter)</f>
        <v>6090975.98321442</v>
      </c>
      <c r="AE43" s="22" t="n">
        <f aca="false">((AE18*ar_days)/days_per_quarter)</f>
        <v>6460884.81050031</v>
      </c>
      <c r="AF43" s="22" t="n">
        <f aca="false">((AF18*ar_days)/days_per_quarter)</f>
        <v>6836785.24198073</v>
      </c>
      <c r="AG43" s="22" t="n">
        <f aca="false">((AG18*ar_days)/days_per_quarter)</f>
        <v>7218718.20884817</v>
      </c>
      <c r="AH43" s="22" t="n">
        <f aca="false">((AH18*ar_days)/days_per_quarter)</f>
        <v>7606725.82731428</v>
      </c>
      <c r="AI43" s="22" t="n">
        <f aca="false">((AI18*ar_days)/days_per_quarter)</f>
        <v>8000851.38410002</v>
      </c>
      <c r="AJ43" s="22" t="n">
        <f aca="false">((AJ18*ar_days)/days_per_quarter)</f>
        <v>8401139.3226265</v>
      </c>
      <c r="AK43" s="22" t="n">
        <f aca="false">((AK18*ar_days)/days_per_quarter)</f>
        <v>8807635.2298853</v>
      </c>
      <c r="AL43" s="22" t="n">
        <f aca="false">((AL18*ar_days)/days_per_quarter)</f>
        <v>9220385.82396794</v>
      </c>
      <c r="AM43" s="22" t="n">
        <f aca="false">((AM18*ar_days)/days_per_quarter)</f>
        <v>9639438.94223487</v>
      </c>
      <c r="AN43" s="22" t="n">
        <f aca="false">((AN18*ar_days)/days_per_quarter)</f>
        <v>10064843.530105</v>
      </c>
      <c r="AO43" s="22" t="n">
        <f aca="false">((AO18*ar_days)/days_per_quarter)</f>
        <v>10496649.6304473</v>
      </c>
    </row>
    <row r="44" customFormat="false" ht="15" hidden="false" customHeight="false" outlineLevel="0" collapsed="false">
      <c r="A44" s="2" t="s">
        <v>355</v>
      </c>
      <c r="B44" s="2" t="s">
        <v>356</v>
      </c>
      <c r="C44" s="2" t="s">
        <v>139</v>
      </c>
      <c r="D44" s="2" t="s">
        <v>54</v>
      </c>
      <c r="E44" s="2" t="s">
        <v>55</v>
      </c>
      <c r="F44" s="17" t="s">
        <v>357</v>
      </c>
      <c r="G44" s="2" t="s">
        <v>358</v>
      </c>
      <c r="H44" s="2" t="s">
        <v>359</v>
      </c>
      <c r="J44" s="22" t="n">
        <f aca="false">((J18*annual_prepay_share)*prepaid_quarters)</f>
        <v>1483200</v>
      </c>
      <c r="K44" s="22" t="n">
        <f aca="false">((K18*annual_prepay_share)*prepaid_quarters)</f>
        <v>1592194.4742667</v>
      </c>
      <c r="L44" s="22" t="n">
        <f aca="false">((L18*annual_prepay_share)*prepaid_quarters)</f>
        <v>1722523.78733945</v>
      </c>
      <c r="M44" s="22" t="n">
        <f aca="false">((M18*annual_prepay_share)*prepaid_quarters)</f>
        <v>1873847.42421011</v>
      </c>
      <c r="N44" s="22" t="n">
        <f aca="false">((N18*annual_prepay_share)*prepaid_quarters)</f>
        <v>2047694.04965376</v>
      </c>
      <c r="O44" s="22" t="n">
        <f aca="false">((O18*annual_prepay_share)*prepaid_quarters)</f>
        <v>2241851.84081355</v>
      </c>
      <c r="P44" s="22" t="n">
        <f aca="false">((P18*annual_prepay_share)*prepaid_quarters)</f>
        <v>2456026.11207235</v>
      </c>
      <c r="Q44" s="22" t="n">
        <f aca="false">((Q18*annual_prepay_share)*prepaid_quarters)</f>
        <v>2691831.5307984</v>
      </c>
      <c r="R44" s="22" t="n">
        <f aca="false">((R18*annual_prepay_share)*prepaid_quarters)</f>
        <v>2947056.75693686</v>
      </c>
      <c r="S44" s="22" t="n">
        <f aca="false">((S18*annual_prepay_share)*prepaid_quarters)</f>
        <v>3221448.94810005</v>
      </c>
      <c r="T44" s="22" t="n">
        <f aca="false">((T18*annual_prepay_share)*prepaid_quarters)</f>
        <v>3516705.85415736</v>
      </c>
      <c r="U44" s="22" t="n">
        <f aca="false">((U18*annual_prepay_share)*prepaid_quarters)</f>
        <v>3830611.94077874</v>
      </c>
      <c r="V44" s="22" t="n">
        <f aca="false">((V18*annual_prepay_share)*prepaid_quarters)</f>
        <v>4162952.61371628</v>
      </c>
      <c r="W44" s="22" t="n">
        <f aca="false">((W18*annual_prepay_share)*prepaid_quarters)</f>
        <v>4515506.18443695</v>
      </c>
      <c r="X44" s="22" t="n">
        <f aca="false">((X18*annual_prepay_share)*prepaid_quarters)</f>
        <v>4886048.59179896</v>
      </c>
      <c r="Y44" s="22" t="n">
        <f aca="false">((Y18*annual_prepay_share)*prepaid_quarters)</f>
        <v>5274400.2486395</v>
      </c>
      <c r="Z44" s="22" t="n">
        <f aca="false">((Z18*annual_prepay_share)*prepaid_quarters)</f>
        <v>5682417.87095943</v>
      </c>
      <c r="AA44" s="22" t="n">
        <f aca="false">((AA18*annual_prepay_share)*prepaid_quarters)</f>
        <v>6103782.96324989</v>
      </c>
      <c r="AB44" s="22" t="n">
        <f aca="false">((AB18*annual_prepay_share)*prepaid_quarters)</f>
        <v>6532253.44432285</v>
      </c>
      <c r="AC44" s="22" t="n">
        <f aca="false">((AC18*annual_prepay_share)*prepaid_quarters)</f>
        <v>6967873.15217131</v>
      </c>
      <c r="AD44" s="22" t="n">
        <f aca="false">((AD18*annual_prepay_share)*prepaid_quarters)</f>
        <v>7410687.44624421</v>
      </c>
      <c r="AE44" s="22" t="n">
        <f aca="false">((AE18*annual_prepay_share)*prepaid_quarters)</f>
        <v>7860743.18610871</v>
      </c>
      <c r="AF44" s="22" t="n">
        <f aca="false">((AF18*annual_prepay_share)*prepaid_quarters)</f>
        <v>8318088.71107655</v>
      </c>
      <c r="AG44" s="22" t="n">
        <f aca="false">((AG18*annual_prepay_share)*prepaid_quarters)</f>
        <v>8782773.82076528</v>
      </c>
      <c r="AH44" s="22" t="n">
        <f aca="false">((AH18*annual_prepay_share)*prepaid_quarters)</f>
        <v>9254849.75656571</v>
      </c>
      <c r="AI44" s="22" t="n">
        <f aca="false">((AI18*annual_prepay_share)*prepaid_quarters)</f>
        <v>9734369.18398835</v>
      </c>
      <c r="AJ44" s="22" t="n">
        <f aca="false">((AJ18*annual_prepay_share)*prepaid_quarters)</f>
        <v>10221386.1758622</v>
      </c>
      <c r="AK44" s="22" t="n">
        <f aca="false">((AK18*annual_prepay_share)*prepaid_quarters)</f>
        <v>10715956.1963604</v>
      </c>
      <c r="AL44" s="22" t="n">
        <f aca="false">((AL18*annual_prepay_share)*prepaid_quarters)</f>
        <v>11218136.0858277</v>
      </c>
      <c r="AM44" s="22" t="n">
        <f aca="false">((AM18*annual_prepay_share)*prepaid_quarters)</f>
        <v>11727984.0463858</v>
      </c>
      <c r="AN44" s="22" t="n">
        <f aca="false">((AN18*annual_prepay_share)*prepaid_quarters)</f>
        <v>12245559.6282944</v>
      </c>
      <c r="AO44" s="22" t="n">
        <f aca="false">((AO18*annual_prepay_share)*prepaid_quarters)</f>
        <v>12770923.7170442</v>
      </c>
    </row>
    <row r="45" customFormat="false" ht="15" hidden="false" customHeight="false" outlineLevel="0" collapsed="false">
      <c r="A45" s="2" t="s">
        <v>360</v>
      </c>
      <c r="B45" s="2" t="s">
        <v>361</v>
      </c>
      <c r="C45" s="2" t="s">
        <v>139</v>
      </c>
      <c r="D45" s="2" t="s">
        <v>54</v>
      </c>
      <c r="E45" s="2" t="s">
        <v>55</v>
      </c>
      <c r="F45" s="17" t="s">
        <v>362</v>
      </c>
      <c r="G45" s="2" t="s">
        <v>363</v>
      </c>
      <c r="H45" s="2" t="s">
        <v>354</v>
      </c>
      <c r="J45" s="22" t="n">
        <f aca="false">(((J22+J28)*ap_days)/days_per_quarter)</f>
        <v>323230.684931507</v>
      </c>
      <c r="K45" s="22" t="n">
        <f aca="false">(((K22+K28)*ap_days)/days_per_quarter)</f>
        <v>336969.627568586</v>
      </c>
      <c r="L45" s="22" t="n">
        <f aca="false">(((L22+L28)*ap_days)/days_per_quarter)</f>
        <v>352573.83031444</v>
      </c>
      <c r="M45" s="22" t="n">
        <f aca="false">(((M22+M28)*ap_days)/days_per_quarter)</f>
        <v>370000.583957183</v>
      </c>
      <c r="N45" s="22" t="n">
        <f aca="false">(((N22+N28)*ap_days)/days_per_quarter)</f>
        <v>389364.552396169</v>
      </c>
      <c r="O45" s="22" t="n">
        <f aca="false">(((O22+O28)*ap_days)/days_per_quarter)</f>
        <v>410466.569564997</v>
      </c>
      <c r="P45" s="22" t="n">
        <f aca="false">(((P22+P28)*ap_days)/days_per_quarter)</f>
        <v>433269.858287824</v>
      </c>
      <c r="Q45" s="22" t="n">
        <f aca="false">(((Q22+Q28)*ap_days)/days_per_quarter)</f>
        <v>457896.749084499</v>
      </c>
      <c r="R45" s="22" t="n">
        <f aca="false">(((R22+R28)*ap_days)/days_per_quarter)</f>
        <v>484151.628744307</v>
      </c>
      <c r="S45" s="22" t="n">
        <f aca="false">(((S22+S28)*ap_days)/days_per_quarter)</f>
        <v>512003.074292721</v>
      </c>
      <c r="T45" s="22" t="n">
        <f aca="false">(((T22+T28)*ap_days)/days_per_quarter)</f>
        <v>541580.57155947</v>
      </c>
      <c r="U45" s="22" t="n">
        <f aca="false">(((U22+U28)*ap_days)/days_per_quarter)</f>
        <v>572691.483273062</v>
      </c>
      <c r="V45" s="22" t="n">
        <f aca="false">(((V22+V28)*ap_days)/days_per_quarter)</f>
        <v>605309.229745367</v>
      </c>
      <c r="W45" s="22" t="n">
        <f aca="false">(((W22+W28)*ap_days)/days_per_quarter)</f>
        <v>639570.006246103</v>
      </c>
      <c r="X45" s="22" t="n">
        <f aca="false">(((X22+X28)*ap_days)/days_per_quarter)</f>
        <v>675283.635641411</v>
      </c>
      <c r="Y45" s="22" t="n">
        <f aca="false">(((Y22+Y28)*ap_days)/days_per_quarter)</f>
        <v>712427.930464713</v>
      </c>
      <c r="Z45" s="22" t="n">
        <f aca="false">(((Z22+Z28)*ap_days)/days_per_quarter)</f>
        <v>751145.408226192</v>
      </c>
      <c r="AA45" s="22" t="n">
        <f aca="false">(((AA22+AA28)*ap_days)/days_per_quarter)</f>
        <v>790919.693337917</v>
      </c>
      <c r="AB45" s="22" t="n">
        <f aca="false">(((AB22+AB28)*ap_days)/days_per_quarter)</f>
        <v>831247.135893602</v>
      </c>
      <c r="AC45" s="22" t="n">
        <f aca="false">(((AC22+AC28)*ap_days)/days_per_quarter)</f>
        <v>872132.785182323</v>
      </c>
      <c r="AD45" s="22" t="n">
        <f aca="false">(((AD22+AD28)*ap_days)/days_per_quarter)</f>
        <v>913581.938464219</v>
      </c>
      <c r="AE45" s="22" t="n">
        <f aca="false">(((AE22+AE28)*ap_days)/days_per_quarter)</f>
        <v>955600.140327573</v>
      </c>
      <c r="AF45" s="22" t="n">
        <f aca="false">(((AF22+AF28)*ap_days)/days_per_quarter)</f>
        <v>998193.182262635</v>
      </c>
      <c r="AG45" s="22" t="n">
        <f aca="false">(((AG22+AG28)*ap_days)/days_per_quarter)</f>
        <v>1041367.10244861</v>
      </c>
      <c r="AH45" s="22" t="n">
        <f aca="false">(((AH22+AH28)*ap_days)/days_per_quarter)</f>
        <v>1085128.18575044</v>
      </c>
      <c r="AI45" s="22" t="n">
        <f aca="false">(((AI22+AI28)*ap_days)/days_per_quarter)</f>
        <v>1129482.96392233</v>
      </c>
      <c r="AJ45" s="22" t="n">
        <f aca="false">(((AJ22+AJ28)*ap_days)/days_per_quarter)</f>
        <v>1174438.21601507</v>
      </c>
      <c r="AK45" s="22" t="n">
        <f aca="false">(((AK22+AK28)*ap_days)/days_per_quarter)</f>
        <v>1220000.96898463</v>
      </c>
      <c r="AL45" s="22" t="n">
        <f aca="false">(((AL22+AL28)*ap_days)/days_per_quarter)</f>
        <v>1266178.49849952</v>
      </c>
      <c r="AM45" s="22" t="n">
        <f aca="false">(((AM22+AM28)*ap_days)/days_per_quarter)</f>
        <v>1312978.32994483</v>
      </c>
      <c r="AN45" s="22" t="n">
        <f aca="false">(((AN22+AN28)*ap_days)/days_per_quarter)</f>
        <v>1360408.23962093</v>
      </c>
      <c r="AO45" s="22" t="n">
        <f aca="false">(((AO22+AO28)*ap_days)/days_per_quarter)</f>
        <v>1408476.25613496</v>
      </c>
    </row>
    <row r="46" customFormat="false" ht="15" hidden="false" customHeight="false" outlineLevel="0" collapsed="false">
      <c r="A46" s="2" t="s">
        <v>364</v>
      </c>
      <c r="B46" s="2" t="s">
        <v>365</v>
      </c>
      <c r="C46" s="2" t="s">
        <v>139</v>
      </c>
      <c r="D46" s="2" t="s">
        <v>54</v>
      </c>
      <c r="E46" s="2" t="s">
        <v>55</v>
      </c>
      <c r="F46" s="17" t="s">
        <v>366</v>
      </c>
      <c r="G46" s="2" t="s">
        <v>367</v>
      </c>
      <c r="H46" s="2" t="s">
        <v>368</v>
      </c>
      <c r="J46" s="22" t="n">
        <f aca="false">((J43-J44)-J45)</f>
        <v>-587362.191780822</v>
      </c>
      <c r="K46" s="22" t="n">
        <f aca="false">((K43-K44)-K45)</f>
        <v>-620511.109287313</v>
      </c>
      <c r="L46" s="22" t="n">
        <f aca="false">((L43-L44)-L45)</f>
        <v>-659324.641758451</v>
      </c>
      <c r="M46" s="22" t="n">
        <f aca="false">((M43-M44)-M45)</f>
        <v>-703699.440323368</v>
      </c>
      <c r="N46" s="22" t="n">
        <f aca="false">((N43-N44)-N45)</f>
        <v>-754022.396855058</v>
      </c>
      <c r="O46" s="22" t="n">
        <f aca="false">((O43-O44)-O45)</f>
        <v>-809700.459024944</v>
      </c>
      <c r="P46" s="22" t="n">
        <f aca="false">((P43-P44)-P45)</f>
        <v>-870644.371396599</v>
      </c>
      <c r="Q46" s="22" t="n">
        <f aca="false">((Q43-Q44)-Q45)</f>
        <v>-937264.007993803</v>
      </c>
      <c r="R46" s="22" t="n">
        <f aca="false">((R43-R44)-R45)</f>
        <v>-1008969.95532211</v>
      </c>
      <c r="S46" s="22" t="n">
        <f aca="false">((S43-S44)-S45)</f>
        <v>-1085685.7636804</v>
      </c>
      <c r="T46" s="22" t="n">
        <f aca="false">((T43-T44)-T45)</f>
        <v>-1167843.25791626</v>
      </c>
      <c r="U46" s="22" t="n">
        <f aca="false">((U43-U44)-U45)</f>
        <v>-1254855.25354873</v>
      </c>
      <c r="V46" s="22" t="n">
        <f aca="false">((V43-V44)-V45)</f>
        <v>-1346656.95547566</v>
      </c>
      <c r="W46" s="22" t="n">
        <f aca="false">((W43-W44)-W45)</f>
        <v>-1443701.24457049</v>
      </c>
      <c r="X46" s="22" t="n">
        <f aca="false">((X43-X44)-X45)</f>
        <v>-1545401.87801657</v>
      </c>
      <c r="Y46" s="22" t="n">
        <f aca="false">((Y43-Y44)-Y45)</f>
        <v>-1651704.68707175</v>
      </c>
      <c r="Z46" s="22" t="n">
        <f aca="false">((Z43-Z44)-Z45)</f>
        <v>-1763082.83730116</v>
      </c>
      <c r="AA46" s="22" t="n">
        <f aca="false">((AA43-AA44)-AA45)</f>
        <v>-1877894.7415879</v>
      </c>
      <c r="AB46" s="22" t="n">
        <f aca="false">((AB43-AB44)-AB45)</f>
        <v>-1994525.14652644</v>
      </c>
      <c r="AC46" s="22" t="n">
        <f aca="false">((AC43-AC44)-AC45)</f>
        <v>-2112986.90817174</v>
      </c>
      <c r="AD46" s="22" t="n">
        <f aca="false">((AD43-AD44)-AD45)</f>
        <v>-2233293.40149401</v>
      </c>
      <c r="AE46" s="22" t="n">
        <f aca="false">((AE43-AE44)-AE45)</f>
        <v>-2355458.51593597</v>
      </c>
      <c r="AF46" s="22" t="n">
        <f aca="false">((AF43-AF44)-AF45)</f>
        <v>-2479496.65135846</v>
      </c>
      <c r="AG46" s="22" t="n">
        <f aca="false">((AG43-AG44)-AG45)</f>
        <v>-2605422.71436571</v>
      </c>
      <c r="AH46" s="22" t="n">
        <f aca="false">((AH43-AH44)-AH45)</f>
        <v>-2733252.11500187</v>
      </c>
      <c r="AI46" s="22" t="n">
        <f aca="false">((AI43-AI44)-AI45)</f>
        <v>-2863000.76381067</v>
      </c>
      <c r="AJ46" s="22" t="n">
        <f aca="false">((AJ43-AJ44)-AJ45)</f>
        <v>-2994685.06925081</v>
      </c>
      <c r="AK46" s="22" t="n">
        <f aca="false">((AK43-AK44)-AK45)</f>
        <v>-3128321.93545977</v>
      </c>
      <c r="AL46" s="22" t="n">
        <f aca="false">((AL43-AL44)-AL45)</f>
        <v>-3263928.76035924</v>
      </c>
      <c r="AM46" s="22" t="n">
        <f aca="false">((AM43-AM44)-AM45)</f>
        <v>-3401523.43409572</v>
      </c>
      <c r="AN46" s="22" t="n">
        <f aca="false">((AN43-AN44)-AN45)</f>
        <v>-3541124.33781034</v>
      </c>
      <c r="AO46" s="22" t="n">
        <f aca="false">((AO43-AO44)-AO45)</f>
        <v>-3682750.34273187</v>
      </c>
    </row>
    <row r="47" customFormat="false" ht="15" hidden="false" customHeight="false" outlineLevel="0" collapsed="false">
      <c r="A47" s="2" t="s">
        <v>369</v>
      </c>
      <c r="B47" s="2" t="s">
        <v>370</v>
      </c>
      <c r="C47" s="2" t="s">
        <v>139</v>
      </c>
      <c r="D47" s="2" t="s">
        <v>54</v>
      </c>
      <c r="E47" s="2" t="s">
        <v>55</v>
      </c>
      <c r="F47" s="17" t="s">
        <v>371</v>
      </c>
      <c r="G47" s="2" t="s">
        <v>372</v>
      </c>
      <c r="H47" s="2" t="s">
        <v>373</v>
      </c>
      <c r="J47" s="22" t="n">
        <f aca="false">(J46-IF(Timeline!J$9&gt;1,INDEX($J46:$AO46,1,Timeline!J$9-1),0))</f>
        <v>-587362.191780822</v>
      </c>
      <c r="K47" s="22" t="n">
        <f aca="false">(K46-IF(Timeline!K$9&gt;1,INDEX($J46:$AO46,1,Timeline!K$9-1),0))</f>
        <v>-33148.9175064906</v>
      </c>
      <c r="L47" s="22" t="n">
        <f aca="false">(L46-IF(Timeline!L$9&gt;1,INDEX($J46:$AO46,1,Timeline!L$9-1),0))</f>
        <v>-38813.5324711383</v>
      </c>
      <c r="M47" s="22" t="n">
        <f aca="false">(M46-IF(Timeline!M$9&gt;1,INDEX($J46:$AO46,1,Timeline!M$9-1),0))</f>
        <v>-44374.7985649169</v>
      </c>
      <c r="N47" s="22" t="n">
        <f aca="false">(N46-IF(Timeline!N$9&gt;1,INDEX($J46:$AO46,1,Timeline!N$9-1),0))</f>
        <v>-50322.9565316902</v>
      </c>
      <c r="O47" s="22" t="n">
        <f aca="false">(O46-IF(Timeline!O$9&gt;1,INDEX($J46:$AO46,1,Timeline!O$9-1),0))</f>
        <v>-55678.0621698864</v>
      </c>
      <c r="P47" s="22" t="n">
        <f aca="false">(P46-IF(Timeline!P$9&gt;1,INDEX($J46:$AO46,1,Timeline!P$9-1),0))</f>
        <v>-60943.9123716543</v>
      </c>
      <c r="Q47" s="22" t="n">
        <f aca="false">(Q46-IF(Timeline!Q$9&gt;1,INDEX($J46:$AO46,1,Timeline!Q$9-1),0))</f>
        <v>-66619.6365972045</v>
      </c>
      <c r="R47" s="22" t="n">
        <f aca="false">(R46-IF(Timeline!R$9&gt;1,INDEX($J46:$AO46,1,Timeline!R$9-1),0))</f>
        <v>-71705.9473283023</v>
      </c>
      <c r="S47" s="22" t="n">
        <f aca="false">(S46-IF(Timeline!S$9&gt;1,INDEX($J46:$AO46,1,Timeline!S$9-1),0))</f>
        <v>-76715.8083582968</v>
      </c>
      <c r="T47" s="22" t="n">
        <f aca="false">(T46-IF(Timeline!T$9&gt;1,INDEX($J46:$AO46,1,Timeline!T$9-1),0))</f>
        <v>-82157.4942358579</v>
      </c>
      <c r="U47" s="22" t="n">
        <f aca="false">(U46-IF(Timeline!U$9&gt;1,INDEX($J46:$AO46,1,Timeline!U$9-1),0))</f>
        <v>-87011.9956324676</v>
      </c>
      <c r="V47" s="22" t="n">
        <f aca="false">(V46-IF(Timeline!V$9&gt;1,INDEX($J46:$AO46,1,Timeline!V$9-1),0))</f>
        <v>-91801.7019269366</v>
      </c>
      <c r="W47" s="22" t="n">
        <f aca="false">(W46-IF(Timeline!W$9&gt;1,INDEX($J46:$AO46,1,Timeline!W$9-1),0))</f>
        <v>-97044.2890948257</v>
      </c>
      <c r="X47" s="22" t="n">
        <f aca="false">(X46-IF(Timeline!X$9&gt;1,INDEX($J46:$AO46,1,Timeline!X$9-1),0))</f>
        <v>-101700.633446077</v>
      </c>
      <c r="Y47" s="22" t="n">
        <f aca="false">(Y46-IF(Timeline!Y$9&gt;1,INDEX($J46:$AO46,1,Timeline!Y$9-1),0))</f>
        <v>-106302.809055181</v>
      </c>
      <c r="Z47" s="22" t="n">
        <f aca="false">(Z46-IF(Timeline!Z$9&gt;1,INDEX($J46:$AO46,1,Timeline!Z$9-1),0))</f>
        <v>-111378.150229412</v>
      </c>
      <c r="AA47" s="22" t="n">
        <f aca="false">(AA46-IF(Timeline!AA$9&gt;1,INDEX($J46:$AO46,1,Timeline!AA$9-1),0))</f>
        <v>-114811.904286737</v>
      </c>
      <c r="AB47" s="22" t="n">
        <f aca="false">(AB46-IF(Timeline!AB$9&gt;1,INDEX($J46:$AO46,1,Timeline!AB$9-1),0))</f>
        <v>-116630.404938541</v>
      </c>
      <c r="AC47" s="22" t="n">
        <f aca="false">(AC46-IF(Timeline!AC$9&gt;1,INDEX($J46:$AO46,1,Timeline!AC$9-1),0))</f>
        <v>-118461.761645297</v>
      </c>
      <c r="AD47" s="22" t="n">
        <f aca="false">(AD46-IF(Timeline!AD$9&gt;1,INDEX($J46:$AO46,1,Timeline!AD$9-1),0))</f>
        <v>-120306.493322275</v>
      </c>
      <c r="AE47" s="22" t="n">
        <f aca="false">(AE46-IF(Timeline!AE$9&gt;1,INDEX($J46:$AO46,1,Timeline!AE$9-1),0))</f>
        <v>-122165.114441964</v>
      </c>
      <c r="AF47" s="22" t="n">
        <f aca="false">(AF46-IF(Timeline!AF$9&gt;1,INDEX($J46:$AO46,1,Timeline!AF$9-1),0))</f>
        <v>-124038.135422485</v>
      </c>
      <c r="AG47" s="22" t="n">
        <f aca="false">(AG46-IF(Timeline!AG$9&gt;1,INDEX($J46:$AO46,1,Timeline!AG$9-1),0))</f>
        <v>-125926.063007254</v>
      </c>
      <c r="AH47" s="22" t="n">
        <f aca="false">(AH46-IF(Timeline!AH$9&gt;1,INDEX($J46:$AO46,1,Timeline!AH$9-1),0))</f>
        <v>-127829.40063616</v>
      </c>
      <c r="AI47" s="22" t="n">
        <f aca="false">(AI46-IF(Timeline!AI$9&gt;1,INDEX($J46:$AO46,1,Timeline!AI$9-1),0))</f>
        <v>-129748.648808797</v>
      </c>
      <c r="AJ47" s="22" t="n">
        <f aca="false">(AJ46-IF(Timeline!AJ$9&gt;1,INDEX($J46:$AO46,1,Timeline!AJ$9-1),0))</f>
        <v>-131684.305440144</v>
      </c>
      <c r="AK47" s="22" t="n">
        <f aca="false">(AK46-IF(Timeline!AK$9&gt;1,INDEX($J46:$AO46,1,Timeline!AK$9-1),0))</f>
        <v>-133636.866208959</v>
      </c>
      <c r="AL47" s="22" t="n">
        <f aca="false">(AL46-IF(Timeline!AL$9&gt;1,INDEX($J46:$AO46,1,Timeline!AL$9-1),0))</f>
        <v>-135606.824899463</v>
      </c>
      <c r="AM47" s="22" t="n">
        <f aca="false">(AM46-IF(Timeline!AM$9&gt;1,INDEX($J46:$AO46,1,Timeline!AM$9-1),0))</f>
        <v>-137594.673736488</v>
      </c>
      <c r="AN47" s="22" t="n">
        <f aca="false">(AN46-IF(Timeline!AN$9&gt;1,INDEX($J46:$AO46,1,Timeline!AN$9-1),0))</f>
        <v>-139600.903714619</v>
      </c>
      <c r="AO47" s="22" t="n">
        <f aca="false">(AO46-IF(Timeline!AO$9&gt;1,INDEX($J46:$AO46,1,Timeline!AO$9-1),0))</f>
        <v>-141626.004921523</v>
      </c>
    </row>
    <row r="48" customFormat="false" ht="15" hidden="false" customHeight="false" outlineLevel="0" collapsed="false">
      <c r="A48" s="2" t="s">
        <v>374</v>
      </c>
      <c r="B48" s="2" t="s">
        <v>375</v>
      </c>
      <c r="C48" s="2" t="s">
        <v>139</v>
      </c>
      <c r="D48" s="2" t="s">
        <v>54</v>
      </c>
      <c r="E48" s="2" t="s">
        <v>55</v>
      </c>
      <c r="F48" s="17" t="s">
        <v>376</v>
      </c>
      <c r="G48" s="2" t="s">
        <v>377</v>
      </c>
      <c r="H48" s="2"/>
      <c r="J48" s="22" t="n">
        <f aca="false">(((J32-J41)-J35)-J47)</f>
        <v>-570877.808219178</v>
      </c>
      <c r="K48" s="22" t="n">
        <f aca="false">(((K32-K41)-K35)-K47)</f>
        <v>-1142947.77109346</v>
      </c>
      <c r="L48" s="22" t="n">
        <f aca="false">(((L32-L41)-L35)-L47)</f>
        <v>-1170788.65051969</v>
      </c>
      <c r="M48" s="22" t="n">
        <f aca="false">(((M32-M41)-M35)-M47)</f>
        <v>-1224810.78955991</v>
      </c>
      <c r="N48" s="22" t="n">
        <f aca="false">(((N32-N41)-N35)-N47)</f>
        <v>-1177363.15882507</v>
      </c>
      <c r="O48" s="22" t="n">
        <f aca="false">(((O32-O41)-O35)-O47)</f>
        <v>-1172450.98158807</v>
      </c>
      <c r="P48" s="22" t="n">
        <f aca="false">(((P32-P41)-P35)-P47)</f>
        <v>-1139942.3726017</v>
      </c>
      <c r="Q48" s="22" t="n">
        <f aca="false">(((Q32-Q41)-Q35)-Q47)</f>
        <v>-1077059.5454741</v>
      </c>
      <c r="R48" s="22" t="n">
        <f aca="false">(((R32-R41)-R35)-R47)</f>
        <v>-3217837.08079761</v>
      </c>
      <c r="S48" s="22" t="n">
        <f aca="false">(((S32-S41)-S35)-S47)</f>
        <v>-3102081.51948447</v>
      </c>
      <c r="T48" s="22" t="n">
        <f aca="false">(((T32-T41)-T35)-T47)</f>
        <v>-2956891.3003492</v>
      </c>
      <c r="U48" s="22" t="n">
        <f aca="false">(((U32-U41)-U35)-U47)</f>
        <v>-2786336.66321134</v>
      </c>
      <c r="V48" s="22" t="n">
        <f aca="false">(((V32-V41)-V35)-V47)</f>
        <v>-515166.664364318</v>
      </c>
      <c r="W48" s="22" t="n">
        <f aca="false">(((W32-W41)-W35)-W47)</f>
        <v>-235358.493786415</v>
      </c>
      <c r="X48" s="22" t="n">
        <f aca="false">(((X32-X41)-X35)-X47)</f>
        <v>68976.0132400706</v>
      </c>
      <c r="Y48" s="22" t="n">
        <f aca="false">(((Y32-Y41)-Y35)-Y47)</f>
        <v>398141.595408196</v>
      </c>
      <c r="Z48" s="22" t="n">
        <f aca="false">(((Z32-Z41)-Z35)-Z47)</f>
        <v>675280.20503314</v>
      </c>
      <c r="AA48" s="22" t="n">
        <f aca="false">(((AA32-AA41)-AA35)-AA47)</f>
        <v>1134474.86838581</v>
      </c>
      <c r="AB48" s="22" t="n">
        <f aca="false">(((AB32-AB41)-AB35)-AB47)</f>
        <v>1557036.43769217</v>
      </c>
      <c r="AC48" s="22" t="n">
        <f aca="false">(((AC32-AC41)-AC35)-AC47)</f>
        <v>2034649.63153029</v>
      </c>
      <c r="AD48" s="22" t="n">
        <f aca="false">(((AD32-AD41)-AD35)-AD47)</f>
        <v>2437373.32141119</v>
      </c>
      <c r="AE48" s="22" t="n">
        <f aca="false">(((AE32-AE41)-AE35)-AE47)</f>
        <v>2935268.0848074</v>
      </c>
      <c r="AF48" s="22" t="n">
        <f aca="false">(((AF32-AF41)-AF35)-AF47)</f>
        <v>3398396.17339098</v>
      </c>
      <c r="AG48" s="22" t="n">
        <f aca="false">(((AG32-AG41)-AG35)-AG47)</f>
        <v>3916821.48214906</v>
      </c>
      <c r="AH48" s="22" t="n">
        <f aca="false">(((AH32-AH41)-AH35)-AH47)</f>
        <v>4008695.79921678</v>
      </c>
      <c r="AI48" s="22" t="n">
        <f aca="false">(((AI32-AI41)-AI35)-AI47)</f>
        <v>3691680.53794248</v>
      </c>
      <c r="AJ48" s="22" t="n">
        <f aca="false">(((AJ32-AJ41)-AJ35)-AJ47)</f>
        <v>4070436.66244115</v>
      </c>
      <c r="AK48" s="22" t="n">
        <f aca="false">(((AK32-AK41)-AK35)-AK47)</f>
        <v>4490881.61183124</v>
      </c>
      <c r="AL48" s="22" t="n">
        <f aca="false">(((AL32-AL41)-AL35)-AL47)</f>
        <v>4855562.63248348</v>
      </c>
      <c r="AM48" s="22" t="n">
        <f aca="false">(((AM32-AM41)-AM35)-AM47)</f>
        <v>5292031.38891701</v>
      </c>
      <c r="AN48" s="22" t="n">
        <f aca="false">(((AN32-AN41)-AN35)-AN47)</f>
        <v>5702843.90558881</v>
      </c>
      <c r="AO48" s="22" t="n">
        <f aca="false">(((AO32-AO41)-AO35)-AO47)</f>
        <v>6155557.27501072</v>
      </c>
    </row>
    <row r="49" customFormat="false" ht="15" hidden="false" customHeight="false" outlineLevel="0" collapsed="false">
      <c r="A49" s="2" t="s">
        <v>378</v>
      </c>
      <c r="B49" s="2" t="s">
        <v>379</v>
      </c>
      <c r="C49" s="2" t="s">
        <v>139</v>
      </c>
      <c r="D49" s="2" t="s">
        <v>54</v>
      </c>
      <c r="E49" s="2" t="s">
        <v>55</v>
      </c>
      <c r="F49" s="17" t="s">
        <v>380</v>
      </c>
      <c r="G49" s="2" t="s">
        <v>381</v>
      </c>
      <c r="H49" s="2"/>
      <c r="J49" s="22" t="n">
        <f aca="false">(0+SUM($J48:J48))</f>
        <v>-570877.808219178</v>
      </c>
      <c r="K49" s="22" t="n">
        <f aca="false">(0+SUM($J48:K48))</f>
        <v>-1713825.57931264</v>
      </c>
      <c r="L49" s="22" t="n">
        <f aca="false">(0+SUM($J48:L48))</f>
        <v>-2884614.22983234</v>
      </c>
      <c r="M49" s="22" t="n">
        <f aca="false">(0+SUM($J48:M48))</f>
        <v>-4109425.01939225</v>
      </c>
      <c r="N49" s="22" t="n">
        <f aca="false">(0+SUM($J48:N48))</f>
        <v>-5286788.17821732</v>
      </c>
      <c r="O49" s="22" t="n">
        <f aca="false">(0+SUM($J48:O48))</f>
        <v>-6459239.15980539</v>
      </c>
      <c r="P49" s="22" t="n">
        <f aca="false">(0+SUM($J48:P48))</f>
        <v>-7599181.53240709</v>
      </c>
      <c r="Q49" s="22" t="n">
        <f aca="false">(0+SUM($J48:Q48))</f>
        <v>-8676241.07788119</v>
      </c>
      <c r="R49" s="22" t="n">
        <f aca="false">(0+SUM($J48:R48))</f>
        <v>-11894078.1586788</v>
      </c>
      <c r="S49" s="22" t="n">
        <f aca="false">(0+SUM($J48:S48))</f>
        <v>-14996159.6781633</v>
      </c>
      <c r="T49" s="22" t="n">
        <f aca="false">(0+SUM($J48:T48))</f>
        <v>-17953050.9785125</v>
      </c>
      <c r="U49" s="22" t="n">
        <f aca="false">(0+SUM($J48:U48))</f>
        <v>-20739387.6417238</v>
      </c>
      <c r="V49" s="22" t="n">
        <f aca="false">(0+SUM($J48:V48))</f>
        <v>-21254554.3060881</v>
      </c>
      <c r="W49" s="22" t="n">
        <f aca="false">(0+SUM($J48:W48))</f>
        <v>-21489912.7998746</v>
      </c>
      <c r="X49" s="22" t="n">
        <f aca="false">(0+SUM($J48:X48))</f>
        <v>-21420936.7866345</v>
      </c>
      <c r="Y49" s="22" t="n">
        <f aca="false">(0+SUM($J48:Y48))</f>
        <v>-21022795.1912263</v>
      </c>
      <c r="Z49" s="22" t="n">
        <f aca="false">(0+SUM($J48:Z48))</f>
        <v>-20347514.9861931</v>
      </c>
      <c r="AA49" s="22" t="n">
        <f aca="false">(0+SUM($J48:AA48))</f>
        <v>-19213040.1178073</v>
      </c>
      <c r="AB49" s="22" t="n">
        <f aca="false">(0+SUM($J48:AB48))</f>
        <v>-17656003.6801152</v>
      </c>
      <c r="AC49" s="22" t="n">
        <f aca="false">(0+SUM($J48:AC48))</f>
        <v>-15621354.0485849</v>
      </c>
      <c r="AD49" s="22" t="n">
        <f aca="false">(0+SUM($J48:AD48))</f>
        <v>-13183980.7271737</v>
      </c>
      <c r="AE49" s="22" t="n">
        <f aca="false">(0+SUM($J48:AE48))</f>
        <v>-10248712.6423663</v>
      </c>
      <c r="AF49" s="22" t="n">
        <f aca="false">(0+SUM($J48:AF48))</f>
        <v>-6850316.46897531</v>
      </c>
      <c r="AG49" s="22" t="n">
        <f aca="false">(0+SUM($J48:AG48))</f>
        <v>-2933494.98682624</v>
      </c>
      <c r="AH49" s="22" t="n">
        <f aca="false">(0+SUM($J48:AH48))</f>
        <v>1075200.81239053</v>
      </c>
      <c r="AI49" s="22" t="n">
        <f aca="false">(0+SUM($J48:AI48))</f>
        <v>4766881.35033302</v>
      </c>
      <c r="AJ49" s="22" t="n">
        <f aca="false">(0+SUM($J48:AJ48))</f>
        <v>8837318.01277416</v>
      </c>
      <c r="AK49" s="22" t="n">
        <f aca="false">(0+SUM($J48:AK48))</f>
        <v>13328199.6246054</v>
      </c>
      <c r="AL49" s="22" t="n">
        <f aca="false">(0+SUM($J48:AL48))</f>
        <v>18183762.2570889</v>
      </c>
      <c r="AM49" s="22" t="n">
        <f aca="false">(0+SUM($J48:AM48))</f>
        <v>23475793.6460059</v>
      </c>
      <c r="AN49" s="22" t="n">
        <f aca="false">(0+SUM($J48:AN48))</f>
        <v>29178637.5515947</v>
      </c>
      <c r="AO49" s="22" t="n">
        <f aca="false">(0+SUM($J48:AO48))</f>
        <v>35334194.8266054</v>
      </c>
    </row>
    <row r="50" customFormat="false" ht="15" hidden="false" customHeight="false" outlineLevel="0" collapsed="false">
      <c r="A50" s="2" t="s">
        <v>382</v>
      </c>
      <c r="B50" s="2" t="s">
        <v>383</v>
      </c>
      <c r="C50" s="2" t="s">
        <v>139</v>
      </c>
      <c r="D50" s="2" t="s">
        <v>54</v>
      </c>
      <c r="E50" s="2" t="s">
        <v>55</v>
      </c>
      <c r="F50" s="17" t="s">
        <v>384</v>
      </c>
      <c r="G50" s="2" t="s">
        <v>385</v>
      </c>
      <c r="H50" s="2" t="s">
        <v>386</v>
      </c>
      <c r="J50" s="22" t="n">
        <f aca="false">(J48+Driver_Series!J8)</f>
        <v>-570877.808219178</v>
      </c>
      <c r="K50" s="22" t="n">
        <f aca="false">(K48+Driver_Series!K8)</f>
        <v>-1142947.77109346</v>
      </c>
      <c r="L50" s="22" t="n">
        <f aca="false">(L48+Driver_Series!L8)</f>
        <v>-1170788.65051969</v>
      </c>
      <c r="M50" s="22" t="n">
        <f aca="false">(M48+Driver_Series!M8)</f>
        <v>-1224810.78955991</v>
      </c>
      <c r="N50" s="22" t="n">
        <f aca="false">(N48+Driver_Series!N8)</f>
        <v>-1177363.15882507</v>
      </c>
      <c r="O50" s="22" t="n">
        <f aca="false">(O48+Driver_Series!O8)</f>
        <v>28827549.0184119</v>
      </c>
      <c r="P50" s="22" t="n">
        <f aca="false">(P48+Driver_Series!P8)</f>
        <v>-1139942.3726017</v>
      </c>
      <c r="Q50" s="22" t="n">
        <f aca="false">(Q48+Driver_Series!Q8)</f>
        <v>-1077059.5454741</v>
      </c>
      <c r="R50" s="22" t="n">
        <f aca="false">(R48+Driver_Series!R8)</f>
        <v>-3217837.08079761</v>
      </c>
      <c r="S50" s="22" t="n">
        <f aca="false">(S48+Driver_Series!S8)</f>
        <v>-3102081.51948447</v>
      </c>
      <c r="T50" s="22" t="n">
        <f aca="false">(T48+Driver_Series!T8)</f>
        <v>-2956891.3003492</v>
      </c>
      <c r="U50" s="22" t="n">
        <f aca="false">(U48+Driver_Series!U8)</f>
        <v>-2786336.66321134</v>
      </c>
      <c r="V50" s="22" t="n">
        <f aca="false">(V48+Driver_Series!V8)</f>
        <v>-515166.664364318</v>
      </c>
      <c r="W50" s="22" t="n">
        <f aca="false">(W48+Driver_Series!W8)</f>
        <v>39764641.5062136</v>
      </c>
      <c r="X50" s="22" t="n">
        <f aca="false">(X48+Driver_Series!X8)</f>
        <v>68976.0132400706</v>
      </c>
      <c r="Y50" s="22" t="n">
        <f aca="false">(Y48+Driver_Series!Y8)</f>
        <v>398141.595408196</v>
      </c>
      <c r="Z50" s="22" t="n">
        <f aca="false">(Z48+Driver_Series!Z8)</f>
        <v>675280.20503314</v>
      </c>
      <c r="AA50" s="22" t="n">
        <f aca="false">(AA48+Driver_Series!AA8)</f>
        <v>1134474.86838581</v>
      </c>
      <c r="AB50" s="22" t="n">
        <f aca="false">(AB48+Driver_Series!AB8)</f>
        <v>1557036.43769217</v>
      </c>
      <c r="AC50" s="22" t="n">
        <f aca="false">(AC48+Driver_Series!AC8)</f>
        <v>2034649.63153029</v>
      </c>
      <c r="AD50" s="22" t="n">
        <f aca="false">(AD48+Driver_Series!AD8)</f>
        <v>2437373.32141119</v>
      </c>
      <c r="AE50" s="22" t="n">
        <f aca="false">(AE48+Driver_Series!AE8)</f>
        <v>2935268.0848074</v>
      </c>
      <c r="AF50" s="22" t="n">
        <f aca="false">(AF48+Driver_Series!AF8)</f>
        <v>3398396.17339098</v>
      </c>
      <c r="AG50" s="22" t="n">
        <f aca="false">(AG48+Driver_Series!AG8)</f>
        <v>3916821.48214906</v>
      </c>
      <c r="AH50" s="22" t="n">
        <f aca="false">(AH48+Driver_Series!AH8)</f>
        <v>4008695.79921678</v>
      </c>
      <c r="AI50" s="22" t="n">
        <f aca="false">(AI48+Driver_Series!AI8)</f>
        <v>3691680.53794248</v>
      </c>
      <c r="AJ50" s="22" t="n">
        <f aca="false">(AJ48+Driver_Series!AJ8)</f>
        <v>4070436.66244115</v>
      </c>
      <c r="AK50" s="22" t="n">
        <f aca="false">(AK48+Driver_Series!AK8)</f>
        <v>4490881.61183124</v>
      </c>
      <c r="AL50" s="22" t="n">
        <f aca="false">(AL48+Driver_Series!AL8)</f>
        <v>4855562.63248348</v>
      </c>
      <c r="AM50" s="22" t="n">
        <f aca="false">(AM48+Driver_Series!AM8)</f>
        <v>5292031.38891701</v>
      </c>
      <c r="AN50" s="22" t="n">
        <f aca="false">(AN48+Driver_Series!AN8)</f>
        <v>5702843.90558881</v>
      </c>
      <c r="AO50" s="22" t="n">
        <f aca="false">(AO48+Driver_Series!AO8)</f>
        <v>6155557.27501072</v>
      </c>
    </row>
    <row r="51" customFormat="false" ht="15" hidden="false" customHeight="false" outlineLevel="0" collapsed="false">
      <c r="A51" s="2" t="s">
        <v>387</v>
      </c>
      <c r="B51" s="2" t="s">
        <v>388</v>
      </c>
      <c r="C51" s="2" t="s">
        <v>139</v>
      </c>
      <c r="D51" s="2" t="s">
        <v>54</v>
      </c>
      <c r="E51" s="2" t="s">
        <v>55</v>
      </c>
      <c r="F51" s="17" t="s">
        <v>389</v>
      </c>
      <c r="G51" s="2" t="s">
        <v>390</v>
      </c>
      <c r="H51" s="2" t="s">
        <v>391</v>
      </c>
      <c r="J51" s="22" t="n">
        <f aca="false">(opening_cash+SUM($J50:J50))</f>
        <v>24429122.1917808</v>
      </c>
      <c r="K51" s="22" t="n">
        <f aca="false">(opening_cash+SUM($J50:K50))</f>
        <v>23286174.4206874</v>
      </c>
      <c r="L51" s="22" t="n">
        <f aca="false">(opening_cash+SUM($J50:L50))</f>
        <v>22115385.7701677</v>
      </c>
      <c r="M51" s="22" t="n">
        <f aca="false">(opening_cash+SUM($J50:M50))</f>
        <v>20890574.9806077</v>
      </c>
      <c r="N51" s="22" t="n">
        <f aca="false">(opening_cash+SUM($J50:N50))</f>
        <v>19713211.8217827</v>
      </c>
      <c r="O51" s="22" t="n">
        <f aca="false">(opening_cash+SUM($J50:O50))</f>
        <v>48540760.8401946</v>
      </c>
      <c r="P51" s="22" t="n">
        <f aca="false">(opening_cash+SUM($J50:P50))</f>
        <v>47400818.4675929</v>
      </c>
      <c r="Q51" s="22" t="n">
        <f aca="false">(opening_cash+SUM($J50:Q50))</f>
        <v>46323758.9221188</v>
      </c>
      <c r="R51" s="22" t="n">
        <f aca="false">(opening_cash+SUM($J50:R50))</f>
        <v>43105921.8413212</v>
      </c>
      <c r="S51" s="22" t="n">
        <f aca="false">(opening_cash+SUM($J50:S50))</f>
        <v>40003840.3218367</v>
      </c>
      <c r="T51" s="22" t="n">
        <f aca="false">(opening_cash+SUM($J50:T50))</f>
        <v>37046949.0214875</v>
      </c>
      <c r="U51" s="22" t="n">
        <f aca="false">(opening_cash+SUM($J50:U50))</f>
        <v>34260612.3582762</v>
      </c>
      <c r="V51" s="22" t="n">
        <f aca="false">(opening_cash+SUM($J50:V50))</f>
        <v>33745445.6939119</v>
      </c>
      <c r="W51" s="22" t="n">
        <f aca="false">(opening_cash+SUM($J50:W50))</f>
        <v>73510087.2001255</v>
      </c>
      <c r="X51" s="22" t="n">
        <f aca="false">(opening_cash+SUM($J50:X50))</f>
        <v>73579063.2133655</v>
      </c>
      <c r="Y51" s="22" t="n">
        <f aca="false">(opening_cash+SUM($J50:Y50))</f>
        <v>73977204.8087737</v>
      </c>
      <c r="Z51" s="22" t="n">
        <f aca="false">(opening_cash+SUM($J50:Z50))</f>
        <v>74652485.0138069</v>
      </c>
      <c r="AA51" s="22" t="n">
        <f aca="false">(opening_cash+SUM($J50:AA50))</f>
        <v>75786959.8821927</v>
      </c>
      <c r="AB51" s="22" t="n">
        <f aca="false">(opening_cash+SUM($J50:AB50))</f>
        <v>77343996.3198848</v>
      </c>
      <c r="AC51" s="22" t="n">
        <f aca="false">(opening_cash+SUM($J50:AC50))</f>
        <v>79378645.9514151</v>
      </c>
      <c r="AD51" s="22" t="n">
        <f aca="false">(opening_cash+SUM($J50:AD50))</f>
        <v>81816019.2728263</v>
      </c>
      <c r="AE51" s="22" t="n">
        <f aca="false">(opening_cash+SUM($J50:AE50))</f>
        <v>84751287.3576337</v>
      </c>
      <c r="AF51" s="22" t="n">
        <f aca="false">(opening_cash+SUM($J50:AF50))</f>
        <v>88149683.5310247</v>
      </c>
      <c r="AG51" s="22" t="n">
        <f aca="false">(opening_cash+SUM($J50:AG50))</f>
        <v>92066505.0131738</v>
      </c>
      <c r="AH51" s="22" t="n">
        <f aca="false">(opening_cash+SUM($J50:AH50))</f>
        <v>96075200.8123905</v>
      </c>
      <c r="AI51" s="22" t="n">
        <f aca="false">(opening_cash+SUM($J50:AI50))</f>
        <v>99766881.350333</v>
      </c>
      <c r="AJ51" s="22" t="n">
        <f aca="false">(opening_cash+SUM($J50:AJ50))</f>
        <v>103837318.012774</v>
      </c>
      <c r="AK51" s="22" t="n">
        <f aca="false">(opening_cash+SUM($J50:AK50))</f>
        <v>108328199.624605</v>
      </c>
      <c r="AL51" s="22" t="n">
        <f aca="false">(opening_cash+SUM($J50:AL50))</f>
        <v>113183762.257089</v>
      </c>
      <c r="AM51" s="22" t="n">
        <f aca="false">(opening_cash+SUM($J50:AM50))</f>
        <v>118475793.646006</v>
      </c>
      <c r="AN51" s="22" t="n">
        <f aca="false">(opening_cash+SUM($J50:AN50))</f>
        <v>124178637.551595</v>
      </c>
      <c r="AO51" s="22" t="n">
        <f aca="false">(opening_cash+SUM($J50:AO50))</f>
        <v>130334194.826605</v>
      </c>
    </row>
    <row r="52" customFormat="false" ht="15" hidden="false" customHeight="false" outlineLevel="0" collapsed="false">
      <c r="A52" s="2" t="s">
        <v>392</v>
      </c>
      <c r="B52" s="2" t="s">
        <v>393</v>
      </c>
      <c r="C52" s="2" t="s">
        <v>139</v>
      </c>
      <c r="D52" s="2" t="s">
        <v>394</v>
      </c>
      <c r="E52" s="2" t="s">
        <v>395</v>
      </c>
      <c r="F52" s="17" t="s">
        <v>396</v>
      </c>
      <c r="G52" s="2" t="s">
        <v>397</v>
      </c>
      <c r="H52" s="2" t="s">
        <v>398</v>
      </c>
      <c r="J52" s="23" t="b">
        <f aca="false">(J51&gt;=min_cash_balance)</f>
        <v>1</v>
      </c>
      <c r="K52" s="23" t="b">
        <f aca="false">(K51&gt;=min_cash_balance)</f>
        <v>1</v>
      </c>
      <c r="L52" s="23" t="b">
        <f aca="false">(L51&gt;=min_cash_balance)</f>
        <v>1</v>
      </c>
      <c r="M52" s="23" t="b">
        <f aca="false">(M51&gt;=min_cash_balance)</f>
        <v>1</v>
      </c>
      <c r="N52" s="23" t="b">
        <f aca="false">(N51&gt;=min_cash_balance)</f>
        <v>1</v>
      </c>
      <c r="O52" s="23" t="b">
        <f aca="false">(O51&gt;=min_cash_balance)</f>
        <v>1</v>
      </c>
      <c r="P52" s="23" t="b">
        <f aca="false">(P51&gt;=min_cash_balance)</f>
        <v>1</v>
      </c>
      <c r="Q52" s="23" t="b">
        <f aca="false">(Q51&gt;=min_cash_balance)</f>
        <v>1</v>
      </c>
      <c r="R52" s="23" t="b">
        <f aca="false">(R51&gt;=min_cash_balance)</f>
        <v>1</v>
      </c>
      <c r="S52" s="23" t="b">
        <f aca="false">(S51&gt;=min_cash_balance)</f>
        <v>1</v>
      </c>
      <c r="T52" s="23" t="b">
        <f aca="false">(T51&gt;=min_cash_balance)</f>
        <v>1</v>
      </c>
      <c r="U52" s="23" t="b">
        <f aca="false">(U51&gt;=min_cash_balance)</f>
        <v>1</v>
      </c>
      <c r="V52" s="23" t="b">
        <f aca="false">(V51&gt;=min_cash_balance)</f>
        <v>1</v>
      </c>
      <c r="W52" s="23" t="b">
        <f aca="false">(W51&gt;=min_cash_balance)</f>
        <v>1</v>
      </c>
      <c r="X52" s="23" t="b">
        <f aca="false">(X51&gt;=min_cash_balance)</f>
        <v>1</v>
      </c>
      <c r="Y52" s="23" t="b">
        <f aca="false">(Y51&gt;=min_cash_balance)</f>
        <v>1</v>
      </c>
      <c r="Z52" s="23" t="b">
        <f aca="false">(Z51&gt;=min_cash_balance)</f>
        <v>1</v>
      </c>
      <c r="AA52" s="23" t="b">
        <f aca="false">(AA51&gt;=min_cash_balance)</f>
        <v>1</v>
      </c>
      <c r="AB52" s="23" t="b">
        <f aca="false">(AB51&gt;=min_cash_balance)</f>
        <v>1</v>
      </c>
      <c r="AC52" s="23" t="b">
        <f aca="false">(AC51&gt;=min_cash_balance)</f>
        <v>1</v>
      </c>
      <c r="AD52" s="23" t="b">
        <f aca="false">(AD51&gt;=min_cash_balance)</f>
        <v>1</v>
      </c>
      <c r="AE52" s="23" t="b">
        <f aca="false">(AE51&gt;=min_cash_balance)</f>
        <v>1</v>
      </c>
      <c r="AF52" s="23" t="b">
        <f aca="false">(AF51&gt;=min_cash_balance)</f>
        <v>1</v>
      </c>
      <c r="AG52" s="23" t="b">
        <f aca="false">(AG51&gt;=min_cash_balance)</f>
        <v>1</v>
      </c>
      <c r="AH52" s="23" t="b">
        <f aca="false">(AH51&gt;=min_cash_balance)</f>
        <v>1</v>
      </c>
      <c r="AI52" s="23" t="b">
        <f aca="false">(AI51&gt;=min_cash_balance)</f>
        <v>1</v>
      </c>
      <c r="AJ52" s="23" t="b">
        <f aca="false">(AJ51&gt;=min_cash_balance)</f>
        <v>1</v>
      </c>
      <c r="AK52" s="23" t="b">
        <f aca="false">(AK51&gt;=min_cash_balance)</f>
        <v>1</v>
      </c>
      <c r="AL52" s="23" t="b">
        <f aca="false">(AL51&gt;=min_cash_balance)</f>
        <v>1</v>
      </c>
      <c r="AM52" s="23" t="b">
        <f aca="false">(AM51&gt;=min_cash_balance)</f>
        <v>1</v>
      </c>
      <c r="AN52" s="23" t="b">
        <f aca="false">(AN51&gt;=min_cash_balance)</f>
        <v>1</v>
      </c>
      <c r="AO52" s="23" t="b">
        <f aca="false">(AO51&gt;=min_cash_balance)</f>
        <v>1</v>
      </c>
    </row>
    <row r="53" customFormat="false" ht="15" hidden="false" customHeight="false" outlineLevel="0" collapsed="false">
      <c r="A53" s="2" t="s">
        <v>399</v>
      </c>
      <c r="B53" s="2" t="s">
        <v>400</v>
      </c>
      <c r="C53" s="2" t="s">
        <v>139</v>
      </c>
      <c r="D53" s="2" t="s">
        <v>54</v>
      </c>
      <c r="E53" s="2" t="s">
        <v>55</v>
      </c>
      <c r="F53" s="17" t="s">
        <v>401</v>
      </c>
      <c r="G53" s="2" t="s">
        <v>402</v>
      </c>
      <c r="H53" s="2" t="s">
        <v>403</v>
      </c>
      <c r="J53" s="22" t="n">
        <f aca="false">MAX(0,(0-J48))</f>
        <v>570877.808219178</v>
      </c>
      <c r="K53" s="22" t="n">
        <f aca="false">MAX(0,(0-K48))</f>
        <v>1142947.77109346</v>
      </c>
      <c r="L53" s="22" t="n">
        <f aca="false">MAX(0,(0-L48))</f>
        <v>1170788.65051969</v>
      </c>
      <c r="M53" s="22" t="n">
        <f aca="false">MAX(0,(0-M48))</f>
        <v>1224810.78955991</v>
      </c>
      <c r="N53" s="22" t="n">
        <f aca="false">MAX(0,(0-N48))</f>
        <v>1177363.15882507</v>
      </c>
      <c r="O53" s="22" t="n">
        <f aca="false">MAX(0,(0-O48))</f>
        <v>1172450.98158807</v>
      </c>
      <c r="P53" s="22" t="n">
        <f aca="false">MAX(0,(0-P48))</f>
        <v>1139942.3726017</v>
      </c>
      <c r="Q53" s="22" t="n">
        <f aca="false">MAX(0,(0-Q48))</f>
        <v>1077059.5454741</v>
      </c>
      <c r="R53" s="22" t="n">
        <f aca="false">MAX(0,(0-R48))</f>
        <v>3217837.08079761</v>
      </c>
      <c r="S53" s="22" t="n">
        <f aca="false">MAX(0,(0-S48))</f>
        <v>3102081.51948447</v>
      </c>
      <c r="T53" s="22" t="n">
        <f aca="false">MAX(0,(0-T48))</f>
        <v>2956891.3003492</v>
      </c>
      <c r="U53" s="22" t="n">
        <f aca="false">MAX(0,(0-U48))</f>
        <v>2786336.66321134</v>
      </c>
      <c r="V53" s="22" t="n">
        <f aca="false">MAX(0,(0-V48))</f>
        <v>515166.664364318</v>
      </c>
      <c r="W53" s="22" t="n">
        <f aca="false">MAX(0,(0-W48))</f>
        <v>235358.493786415</v>
      </c>
      <c r="X53" s="22" t="n">
        <f aca="false">MAX(0,(0-X48))</f>
        <v>0</v>
      </c>
      <c r="Y53" s="22" t="n">
        <f aca="false">MAX(0,(0-Y48))</f>
        <v>0</v>
      </c>
      <c r="Z53" s="22" t="n">
        <f aca="false">MAX(0,(0-Z48))</f>
        <v>0</v>
      </c>
      <c r="AA53" s="22" t="n">
        <f aca="false">MAX(0,(0-AA48))</f>
        <v>0</v>
      </c>
      <c r="AB53" s="22" t="n">
        <f aca="false">MAX(0,(0-AB48))</f>
        <v>0</v>
      </c>
      <c r="AC53" s="22" t="n">
        <f aca="false">MAX(0,(0-AC48))</f>
        <v>0</v>
      </c>
      <c r="AD53" s="22" t="n">
        <f aca="false">MAX(0,(0-AD48))</f>
        <v>0</v>
      </c>
      <c r="AE53" s="22" t="n">
        <f aca="false">MAX(0,(0-AE48))</f>
        <v>0</v>
      </c>
      <c r="AF53" s="22" t="n">
        <f aca="false">MAX(0,(0-AF48))</f>
        <v>0</v>
      </c>
      <c r="AG53" s="22" t="n">
        <f aca="false">MAX(0,(0-AG48))</f>
        <v>0</v>
      </c>
      <c r="AH53" s="22" t="n">
        <f aca="false">MAX(0,(0-AH48))</f>
        <v>0</v>
      </c>
      <c r="AI53" s="22" t="n">
        <f aca="false">MAX(0,(0-AI48))</f>
        <v>0</v>
      </c>
      <c r="AJ53" s="22" t="n">
        <f aca="false">MAX(0,(0-AJ48))</f>
        <v>0</v>
      </c>
      <c r="AK53" s="22" t="n">
        <f aca="false">MAX(0,(0-AK48))</f>
        <v>0</v>
      </c>
      <c r="AL53" s="22" t="n">
        <f aca="false">MAX(0,(0-AL48))</f>
        <v>0</v>
      </c>
      <c r="AM53" s="22" t="n">
        <f aca="false">MAX(0,(0-AM48))</f>
        <v>0</v>
      </c>
      <c r="AN53" s="22" t="n">
        <f aca="false">MAX(0,(0-AN48))</f>
        <v>0</v>
      </c>
      <c r="AO53" s="22" t="n">
        <f aca="false">MAX(0,(0-AO48))</f>
        <v>0</v>
      </c>
    </row>
    <row r="54" customFormat="false" ht="15" hidden="false" customHeight="false" outlineLevel="0" collapsed="false">
      <c r="A54" s="2" t="s">
        <v>404</v>
      </c>
      <c r="B54" s="2" t="s">
        <v>405</v>
      </c>
      <c r="C54" s="2" t="s">
        <v>139</v>
      </c>
      <c r="D54" s="2" t="s">
        <v>196</v>
      </c>
      <c r="E54" s="2" t="s">
        <v>127</v>
      </c>
      <c r="F54" s="17" t="s">
        <v>406</v>
      </c>
      <c r="G54" s="2" t="s">
        <v>407</v>
      </c>
      <c r="H54" s="2" t="s">
        <v>408</v>
      </c>
      <c r="J54" s="20" t="n">
        <f aca="false">IF((J53)=0,0,(J51)/(J53))</f>
        <v>42.7922084902654</v>
      </c>
      <c r="K54" s="20" t="n">
        <f aca="false">IF((K53)=0,0,(K51)/(K53))</f>
        <v>20.3737869827677</v>
      </c>
      <c r="L54" s="20" t="n">
        <f aca="false">IF((L53)=0,0,(L51)/(L53))</f>
        <v>18.8893065886409</v>
      </c>
      <c r="M54" s="20" t="n">
        <f aca="false">IF((M53)=0,0,(M51)/(M53))</f>
        <v>17.0561650490636</v>
      </c>
      <c r="N54" s="20" t="n">
        <f aca="false">IF((N53)=0,0,(N51)/(N53))</f>
        <v>16.7435269857222</v>
      </c>
      <c r="O54" s="20" t="n">
        <f aca="false">IF((O53)=0,0,(O51)/(O53))</f>
        <v>41.4011004318892</v>
      </c>
      <c r="P54" s="20" t="n">
        <f aca="false">IF((P53)=0,0,(P51)/(P53))</f>
        <v>41.5817672953147</v>
      </c>
      <c r="Q54" s="20" t="n">
        <f aca="false">IF((Q53)=0,0,(Q51)/(Q53))</f>
        <v>43.0094688049286</v>
      </c>
      <c r="R54" s="20" t="n">
        <f aca="false">IF((R53)=0,0,(R51)/(R53))</f>
        <v>13.3959304834154</v>
      </c>
      <c r="S54" s="20" t="n">
        <f aca="false">IF((S53)=0,0,(S51)/(S53))</f>
        <v>12.8958056294036</v>
      </c>
      <c r="T54" s="20" t="n">
        <f aca="false">IF((T53)=0,0,(T51)/(T53))</f>
        <v>12.529019587941</v>
      </c>
      <c r="U54" s="20" t="n">
        <f aca="false">IF((U53)=0,0,(U51)/(U53))</f>
        <v>12.2959342317198</v>
      </c>
      <c r="V54" s="20" t="n">
        <f aca="false">IF((V53)=0,0,(V51)/(V53))</f>
        <v>65.5039388768517</v>
      </c>
      <c r="W54" s="20" t="n">
        <f aca="false">IF((W53)=0,0,(W51)/(W53))</f>
        <v>312.332416890954</v>
      </c>
      <c r="X54" s="20" t="n">
        <f aca="false">IF((X53)=0,0,(X51)/(X53))</f>
        <v>0</v>
      </c>
      <c r="Y54" s="20" t="n">
        <f aca="false">IF((Y53)=0,0,(Y51)/(Y53))</f>
        <v>0</v>
      </c>
      <c r="Z54" s="20" t="n">
        <f aca="false">IF((Z53)=0,0,(Z51)/(Z53))</f>
        <v>0</v>
      </c>
      <c r="AA54" s="20" t="n">
        <f aca="false">IF((AA53)=0,0,(AA51)/(AA53))</f>
        <v>0</v>
      </c>
      <c r="AB54" s="20" t="n">
        <f aca="false">IF((AB53)=0,0,(AB51)/(AB53))</f>
        <v>0</v>
      </c>
      <c r="AC54" s="20" t="n">
        <f aca="false">IF((AC53)=0,0,(AC51)/(AC53))</f>
        <v>0</v>
      </c>
      <c r="AD54" s="20" t="n">
        <f aca="false">IF((AD53)=0,0,(AD51)/(AD53))</f>
        <v>0</v>
      </c>
      <c r="AE54" s="20" t="n">
        <f aca="false">IF((AE53)=0,0,(AE51)/(AE53))</f>
        <v>0</v>
      </c>
      <c r="AF54" s="20" t="n">
        <f aca="false">IF((AF53)=0,0,(AF51)/(AF53))</f>
        <v>0</v>
      </c>
      <c r="AG54" s="20" t="n">
        <f aca="false">IF((AG53)=0,0,(AG51)/(AG53))</f>
        <v>0</v>
      </c>
      <c r="AH54" s="20" t="n">
        <f aca="false">IF((AH53)=0,0,(AH51)/(AH53))</f>
        <v>0</v>
      </c>
      <c r="AI54" s="20" t="n">
        <f aca="false">IF((AI53)=0,0,(AI51)/(AI53))</f>
        <v>0</v>
      </c>
      <c r="AJ54" s="20" t="n">
        <f aca="false">IF((AJ53)=0,0,(AJ51)/(AJ53))</f>
        <v>0</v>
      </c>
      <c r="AK54" s="20" t="n">
        <f aca="false">IF((AK53)=0,0,(AK51)/(AK53))</f>
        <v>0</v>
      </c>
      <c r="AL54" s="20" t="n">
        <f aca="false">IF((AL53)=0,0,(AL51)/(AL53))</f>
        <v>0</v>
      </c>
      <c r="AM54" s="20" t="n">
        <f aca="false">IF((AM53)=0,0,(AM51)/(AM53))</f>
        <v>0</v>
      </c>
      <c r="AN54" s="20" t="n">
        <f aca="false">IF((AN53)=0,0,(AN51)/(AN53))</f>
        <v>0</v>
      </c>
      <c r="AO54" s="20" t="n">
        <f aca="false">IF((AO53)=0,0,(AO51)/(AO53))</f>
        <v>0</v>
      </c>
    </row>
    <row r="55" customFormat="false" ht="15" hidden="false" customHeight="false" outlineLevel="0" collapsed="false">
      <c r="A55" s="2" t="s">
        <v>409</v>
      </c>
      <c r="B55" s="2" t="s">
        <v>410</v>
      </c>
      <c r="C55" s="2" t="s">
        <v>411</v>
      </c>
      <c r="D55" s="2" t="s">
        <v>54</v>
      </c>
      <c r="E55" s="2" t="s">
        <v>61</v>
      </c>
      <c r="F55" s="17" t="s">
        <v>412</v>
      </c>
      <c r="G55" s="2" t="s">
        <v>413</v>
      </c>
      <c r="H55" s="2" t="s">
        <v>414</v>
      </c>
      <c r="J55" s="22" t="n">
        <f aca="false">IF((J5)=0,0,(J26)/(J5))</f>
        <v>21750</v>
      </c>
      <c r="K55" s="22" t="n">
        <f aca="false">IF((K5)=0,0,(K26)/(K5))</f>
        <v>20638.2978723404</v>
      </c>
      <c r="L55" s="22" t="n">
        <f aca="false">IF((L5)=0,0,(L26)/(L5))</f>
        <v>21037.7358490566</v>
      </c>
      <c r="M55" s="22" t="n">
        <f aca="false">IF((M5)=0,0,(M26)/(M5))</f>
        <v>21000</v>
      </c>
      <c r="N55" s="22" t="n">
        <f aca="false">IF((N5)=0,0,(N26)/(N5))</f>
        <v>20970.1492537313</v>
      </c>
      <c r="O55" s="22" t="n">
        <f aca="false">IF((O5)=0,0,(O26)/(O5))</f>
        <v>21232.8767123288</v>
      </c>
      <c r="P55" s="22" t="n">
        <f aca="false">IF((P5)=0,0,(P26)/(P5))</f>
        <v>21187.5</v>
      </c>
      <c r="Q55" s="22" t="n">
        <f aca="false">IF((Q5)=0,0,(Q26)/(Q5))</f>
        <v>21149.4252873563</v>
      </c>
      <c r="R55" s="22" t="n">
        <f aca="false">IF((R5)=0,0,(R26)/(R5))</f>
        <v>21344.0860215054</v>
      </c>
      <c r="S55" s="22" t="n">
        <f aca="false">IF((S5)=0,0,(S26)/(S5))</f>
        <v>21300</v>
      </c>
      <c r="T55" s="22" t="n">
        <f aca="false">IF((T5)=0,0,(T26)/(T5))</f>
        <v>21261.6822429907</v>
      </c>
      <c r="U55" s="22" t="n">
        <f aca="false">IF((U5)=0,0,(U26)/(U5))</f>
        <v>21415.9292035398</v>
      </c>
      <c r="V55" s="22" t="n">
        <f aca="false">IF((V5)=0,0,(V26)/(V5))</f>
        <v>21375</v>
      </c>
      <c r="W55" s="22" t="n">
        <f aca="false">IF((W5)=0,0,(W26)/(W5))</f>
        <v>21338.5826771654</v>
      </c>
      <c r="X55" s="22" t="n">
        <f aca="false">IF((X5)=0,0,(X26)/(X5))</f>
        <v>21466.1654135338</v>
      </c>
      <c r="Y55" s="22" t="n">
        <f aca="false">IF((Y5)=0,0,(Y26)/(Y5))</f>
        <v>21428.5714285714</v>
      </c>
      <c r="Z55" s="22" t="n">
        <f aca="false">IF((Z5)=0,0,(Z26)/(Z5))</f>
        <v>21394.5578231293</v>
      </c>
      <c r="AA55" s="22" t="n">
        <f aca="false">IF((AA5)=0,0,(AA26)/(AA5))</f>
        <v>21225.1655629139</v>
      </c>
      <c r="AB55" s="22" t="n">
        <f aca="false">IF((AB5)=0,0,(AB26)/(AB5))</f>
        <v>21354.8387096774</v>
      </c>
      <c r="AC55" s="22" t="n">
        <f aca="false">IF((AC5)=0,0,(AC26)/(AC5))</f>
        <v>21194.9685534591</v>
      </c>
      <c r="AD55" s="22" t="n">
        <f aca="false">IF((AD5)=0,0,(AD26)/(AD5))</f>
        <v>21319.018404908</v>
      </c>
      <c r="AE55" s="22" t="n">
        <f aca="false">IF((AE5)=0,0,(AE26)/(AE5))</f>
        <v>21167.6646706587</v>
      </c>
      <c r="AF55" s="22" t="n">
        <f aca="false">IF((AF5)=0,0,(AF26)/(AF5))</f>
        <v>21286.5497076023</v>
      </c>
      <c r="AG55" s="22" t="n">
        <f aca="false">IF((AG5)=0,0,(AG26)/(AG5))</f>
        <v>21142.8571428571</v>
      </c>
      <c r="AH55" s="22" t="n">
        <f aca="false">IF((AH5)=0,0,(AH26)/(AH5))</f>
        <v>21256.9832402235</v>
      </c>
      <c r="AI55" s="22" t="n">
        <f aca="false">IF((AI5)=0,0,(AI26)/(AI5))</f>
        <v>21120.218579235</v>
      </c>
      <c r="AJ55" s="22" t="n">
        <f aca="false">IF((AJ5)=0,0,(AJ26)/(AJ5))</f>
        <v>21229.9465240642</v>
      </c>
      <c r="AK55" s="22" t="n">
        <f aca="false">IF((AK5)=0,0,(AK26)/(AK5))</f>
        <v>21099.4764397906</v>
      </c>
      <c r="AL55" s="22" t="n">
        <f aca="false">IF((AL5)=0,0,(AL26)/(AL5))</f>
        <v>21205.1282051282</v>
      </c>
      <c r="AM55" s="22" t="n">
        <f aca="false">IF((AM5)=0,0,(AM26)/(AM5))</f>
        <v>21080.4020100503</v>
      </c>
      <c r="AN55" s="22" t="n">
        <f aca="false">IF((AN5)=0,0,(AN26)/(AN5))</f>
        <v>21182.2660098522</v>
      </c>
      <c r="AO55" s="22" t="n">
        <f aca="false">IF((AO5)=0,0,(AO26)/(AO5))</f>
        <v>21062.8019323672</v>
      </c>
    </row>
    <row r="56" customFormat="false" ht="15" hidden="false" customHeight="false" outlineLevel="0" collapsed="false">
      <c r="A56" s="2" t="s">
        <v>415</v>
      </c>
      <c r="B56" s="2" t="s">
        <v>416</v>
      </c>
      <c r="C56" s="2" t="s">
        <v>411</v>
      </c>
      <c r="D56" s="2" t="s">
        <v>54</v>
      </c>
      <c r="E56" s="2" t="s">
        <v>61</v>
      </c>
      <c r="F56" s="17" t="s">
        <v>417</v>
      </c>
      <c r="G56" s="2" t="s">
        <v>418</v>
      </c>
      <c r="H56" s="2"/>
      <c r="J56" s="22" t="n">
        <f aca="false">(J15*J24)</f>
        <v>1690</v>
      </c>
      <c r="K56" s="22" t="n">
        <f aca="false">(K15*K24)</f>
        <v>1703.57324135325</v>
      </c>
      <c r="L56" s="22" t="n">
        <f aca="false">(L15*L24)</f>
        <v>1717.24715641188</v>
      </c>
      <c r="M56" s="22" t="n">
        <f aca="false">(M15*M24)</f>
        <v>1731.02249187997</v>
      </c>
      <c r="N56" s="22" t="n">
        <f aca="false">(N15*N24)</f>
        <v>1744.9</v>
      </c>
      <c r="O56" s="22" t="n">
        <f aca="false">(O15*O24)</f>
        <v>1758.88043859385</v>
      </c>
      <c r="P56" s="22" t="n">
        <f aca="false">(P15*P24)</f>
        <v>1772.96457110423</v>
      </c>
      <c r="Q56" s="22" t="n">
        <f aca="false">(Q15*Q24)</f>
        <v>1787.15316663637</v>
      </c>
      <c r="R56" s="22" t="n">
        <f aca="false">(R15*R24)</f>
        <v>1801.447</v>
      </c>
      <c r="S56" s="22" t="n">
        <f aca="false">(S15*S24)</f>
        <v>1815.84685175166</v>
      </c>
      <c r="T56" s="22" t="n">
        <f aca="false">(T15*T24)</f>
        <v>1830.35350823736</v>
      </c>
      <c r="U56" s="22" t="n">
        <f aca="false">(U15*U24)</f>
        <v>1844.96776163546</v>
      </c>
      <c r="V56" s="22" t="n">
        <f aca="false">(V15*V24)</f>
        <v>1859.69041</v>
      </c>
      <c r="W56" s="22" t="n">
        <f aca="false">(W15*W24)</f>
        <v>1874.52225730421</v>
      </c>
      <c r="X56" s="22" t="n">
        <f aca="false">(X15*X24)</f>
        <v>1889.46411348448</v>
      </c>
      <c r="Y56" s="22" t="n">
        <f aca="false">(Y15*Y24)</f>
        <v>1904.51679448453</v>
      </c>
      <c r="Z56" s="22" t="n">
        <f aca="false">(Z15*Z24)</f>
        <v>1919.6811223</v>
      </c>
      <c r="AA56" s="22" t="n">
        <f aca="false">(AA15*AA24)</f>
        <v>1934.95792502334</v>
      </c>
      <c r="AB56" s="22" t="n">
        <f aca="false">(AB15*AB24)</f>
        <v>1950.34803688901</v>
      </c>
      <c r="AC56" s="22" t="n">
        <f aca="false">(AC15*AC24)</f>
        <v>1965.85229831906</v>
      </c>
      <c r="AD56" s="22" t="n">
        <f aca="false">(AD15*AD24)</f>
        <v>1981.471555969</v>
      </c>
      <c r="AE56" s="22" t="n">
        <f aca="false">(AE15*AE24)</f>
        <v>1997.20666277404</v>
      </c>
      <c r="AF56" s="22" t="n">
        <f aca="false">(AF15*AF24)</f>
        <v>2013.05847799568</v>
      </c>
      <c r="AG56" s="22" t="n">
        <f aca="false">(AG15*AG24)</f>
        <v>2029.02786726863</v>
      </c>
      <c r="AH56" s="22" t="n">
        <f aca="false">(AH15*AH24)</f>
        <v>2045.11570264807</v>
      </c>
      <c r="AI56" s="22" t="n">
        <f aca="false">(AI15*AI24)</f>
        <v>2061.32286265726</v>
      </c>
      <c r="AJ56" s="22" t="n">
        <f aca="false">(AJ15*AJ24)</f>
        <v>2077.65023233555</v>
      </c>
      <c r="AK56" s="22" t="n">
        <f aca="false">(AK15*AK24)</f>
        <v>2094.09870328669</v>
      </c>
      <c r="AL56" s="22" t="n">
        <f aca="false">(AL15*AL24)</f>
        <v>2110.66917372751</v>
      </c>
      <c r="AM56" s="22" t="n">
        <f aca="false">(AM15*AM24)</f>
        <v>2127.36254853698</v>
      </c>
      <c r="AN56" s="22" t="n">
        <f aca="false">(AN15*AN24)</f>
        <v>2144.17973930562</v>
      </c>
      <c r="AO56" s="22" t="n">
        <f aca="false">(AO15*AO24)</f>
        <v>2161.12166438529</v>
      </c>
    </row>
    <row r="57" customFormat="false" ht="15" hidden="false" customHeight="false" outlineLevel="0" collapsed="false">
      <c r="A57" s="2" t="s">
        <v>419</v>
      </c>
      <c r="B57" s="2" t="s">
        <v>420</v>
      </c>
      <c r="C57" s="2" t="s">
        <v>411</v>
      </c>
      <c r="D57" s="2" t="s">
        <v>69</v>
      </c>
      <c r="E57" s="2" t="s">
        <v>127</v>
      </c>
      <c r="F57" s="17" t="s">
        <v>421</v>
      </c>
      <c r="G57" s="2" t="s">
        <v>422</v>
      </c>
      <c r="H57" s="2"/>
      <c r="I57" s="20" t="n">
        <f aca="false">(1/churn_rate_q)</f>
        <v>25</v>
      </c>
    </row>
    <row r="58" customFormat="false" ht="15" hidden="false" customHeight="false" outlineLevel="0" collapsed="false">
      <c r="A58" s="2" t="s">
        <v>423</v>
      </c>
      <c r="B58" s="2" t="s">
        <v>424</v>
      </c>
      <c r="C58" s="2" t="s">
        <v>411</v>
      </c>
      <c r="D58" s="2" t="s">
        <v>54</v>
      </c>
      <c r="E58" s="2" t="s">
        <v>61</v>
      </c>
      <c r="F58" s="17" t="s">
        <v>425</v>
      </c>
      <c r="G58" s="2" t="s">
        <v>426</v>
      </c>
      <c r="H58" s="2" t="s">
        <v>427</v>
      </c>
      <c r="J58" s="22" t="n">
        <f aca="false">((J56*months_per_quarter)*customer_lifetime_quarters)</f>
        <v>126750</v>
      </c>
      <c r="K58" s="22" t="n">
        <f aca="false">((K56*months_per_quarter)*customer_lifetime_quarters)</f>
        <v>127767.993101494</v>
      </c>
      <c r="L58" s="22" t="n">
        <f aca="false">((L56*months_per_quarter)*customer_lifetime_quarters)</f>
        <v>128793.536730891</v>
      </c>
      <c r="M58" s="22" t="n">
        <f aca="false">((M56*months_per_quarter)*customer_lifetime_quarters)</f>
        <v>129826.686890998</v>
      </c>
      <c r="N58" s="22" t="n">
        <f aca="false">((N56*months_per_quarter)*customer_lifetime_quarters)</f>
        <v>130867.5</v>
      </c>
      <c r="O58" s="22" t="n">
        <f aca="false">((O56*months_per_quarter)*customer_lifetime_quarters)</f>
        <v>131916.032894539</v>
      </c>
      <c r="P58" s="22" t="n">
        <f aca="false">((P56*months_per_quarter)*customer_lifetime_quarters)</f>
        <v>132972.342832817</v>
      </c>
      <c r="Q58" s="22" t="n">
        <f aca="false">((Q56*months_per_quarter)*customer_lifetime_quarters)</f>
        <v>134036.487497728</v>
      </c>
      <c r="R58" s="22" t="n">
        <f aca="false">((R56*months_per_quarter)*customer_lifetime_quarters)</f>
        <v>135108.525</v>
      </c>
      <c r="S58" s="22" t="n">
        <f aca="false">((S56*months_per_quarter)*customer_lifetime_quarters)</f>
        <v>136188.513881375</v>
      </c>
      <c r="T58" s="22" t="n">
        <f aca="false">((T56*months_per_quarter)*customer_lifetime_quarters)</f>
        <v>137276.513117802</v>
      </c>
      <c r="U58" s="22" t="n">
        <f aca="false">((U56*months_per_quarter)*customer_lifetime_quarters)</f>
        <v>138372.58212266</v>
      </c>
      <c r="V58" s="22" t="n">
        <f aca="false">((V56*months_per_quarter)*customer_lifetime_quarters)</f>
        <v>139476.78075</v>
      </c>
      <c r="W58" s="22" t="n">
        <f aca="false">((W56*months_per_quarter)*customer_lifetime_quarters)</f>
        <v>140589.169297816</v>
      </c>
      <c r="X58" s="22" t="n">
        <f aca="false">((X56*months_per_quarter)*customer_lifetime_quarters)</f>
        <v>141709.808511336</v>
      </c>
      <c r="Y58" s="22" t="n">
        <f aca="false">((Y56*months_per_quarter)*customer_lifetime_quarters)</f>
        <v>142838.759586339</v>
      </c>
      <c r="Z58" s="22" t="n">
        <f aca="false">((Z56*months_per_quarter)*customer_lifetime_quarters)</f>
        <v>143976.0841725</v>
      </c>
      <c r="AA58" s="22" t="n">
        <f aca="false">((AA56*months_per_quarter)*customer_lifetime_quarters)</f>
        <v>145121.84437675</v>
      </c>
      <c r="AB58" s="22" t="n">
        <f aca="false">((AB56*months_per_quarter)*customer_lifetime_quarters)</f>
        <v>146276.102766676</v>
      </c>
      <c r="AC58" s="22" t="n">
        <f aca="false">((AC56*months_per_quarter)*customer_lifetime_quarters)</f>
        <v>147438.92237393</v>
      </c>
      <c r="AD58" s="22" t="n">
        <f aca="false">((AD56*months_per_quarter)*customer_lifetime_quarters)</f>
        <v>148610.366697675</v>
      </c>
      <c r="AE58" s="22" t="n">
        <f aca="false">((AE56*months_per_quarter)*customer_lifetime_quarters)</f>
        <v>149790.499708053</v>
      </c>
      <c r="AF58" s="22" t="n">
        <f aca="false">((AF56*months_per_quarter)*customer_lifetime_quarters)</f>
        <v>150979.385849676</v>
      </c>
      <c r="AG58" s="22" t="n">
        <f aca="false">((AG56*months_per_quarter)*customer_lifetime_quarters)</f>
        <v>152177.090045147</v>
      </c>
      <c r="AH58" s="22" t="n">
        <f aca="false">((AH56*months_per_quarter)*customer_lifetime_quarters)</f>
        <v>153383.677698605</v>
      </c>
      <c r="AI58" s="22" t="n">
        <f aca="false">((AI56*months_per_quarter)*customer_lifetime_quarters)</f>
        <v>154599.214699294</v>
      </c>
      <c r="AJ58" s="22" t="n">
        <f aca="false">((AJ56*months_per_quarter)*customer_lifetime_quarters)</f>
        <v>155823.767425166</v>
      </c>
      <c r="AK58" s="22" t="n">
        <f aca="false">((AK56*months_per_quarter)*customer_lifetime_quarters)</f>
        <v>157057.402746502</v>
      </c>
      <c r="AL58" s="22" t="n">
        <f aca="false">((AL56*months_per_quarter)*customer_lifetime_quarters)</f>
        <v>158300.188029563</v>
      </c>
      <c r="AM58" s="22" t="n">
        <f aca="false">((AM56*months_per_quarter)*customer_lifetime_quarters)</f>
        <v>159552.191140273</v>
      </c>
      <c r="AN58" s="22" t="n">
        <f aca="false">((AN56*months_per_quarter)*customer_lifetime_quarters)</f>
        <v>160813.480447921</v>
      </c>
      <c r="AO58" s="22" t="n">
        <f aca="false">((AO56*months_per_quarter)*customer_lifetime_quarters)</f>
        <v>162084.124828897</v>
      </c>
    </row>
    <row r="59" customFormat="false" ht="15" hidden="false" customHeight="false" outlineLevel="0" collapsed="false">
      <c r="A59" s="2" t="s">
        <v>428</v>
      </c>
      <c r="B59" s="2" t="s">
        <v>429</v>
      </c>
      <c r="C59" s="2" t="s">
        <v>411</v>
      </c>
      <c r="D59" s="2" t="s">
        <v>196</v>
      </c>
      <c r="E59" s="2" t="s">
        <v>430</v>
      </c>
      <c r="F59" s="17" t="s">
        <v>431</v>
      </c>
      <c r="G59" s="2" t="s">
        <v>432</v>
      </c>
      <c r="H59" s="2"/>
      <c r="J59" s="20" t="n">
        <f aca="false">IF((J55)=0,0,(J58)/(J55))</f>
        <v>5.82758620689655</v>
      </c>
      <c r="K59" s="20" t="n">
        <f aca="false">IF((K55)=0,0,(K58)/(K55))</f>
        <v>6.19082028429919</v>
      </c>
      <c r="L59" s="20" t="n">
        <f aca="false">IF((L55)=0,0,(L58)/(L55))</f>
        <v>6.12202461590781</v>
      </c>
      <c r="M59" s="20" t="n">
        <f aca="false">IF((M55)=0,0,(M58)/(M55))</f>
        <v>6.18222318528562</v>
      </c>
      <c r="N59" s="20" t="n">
        <f aca="false">IF((N55)=0,0,(N58)/(N55))</f>
        <v>6.24065658362989</v>
      </c>
      <c r="O59" s="20" t="n">
        <f aca="false">IF((O55)=0,0,(O58)/(O55))</f>
        <v>6.21281961374279</v>
      </c>
      <c r="P59" s="20" t="n">
        <f aca="false">IF((P55)=0,0,(P58)/(P55))</f>
        <v>6.27598078266985</v>
      </c>
      <c r="Q59" s="20" t="n">
        <f aca="false">IF((Q55)=0,0,(Q58)/(Q55))</f>
        <v>6.33759478929474</v>
      </c>
      <c r="R59" s="20" t="n">
        <f aca="false">IF((R55)=0,0,(R58)/(R55))</f>
        <v>6.3300215743073</v>
      </c>
      <c r="S59" s="20" t="n">
        <f aca="false">IF((S55)=0,0,(S58)/(S55))</f>
        <v>6.39382694278755</v>
      </c>
      <c r="T59" s="20" t="n">
        <f aca="false">IF((T55)=0,0,(T58)/(T55))</f>
        <v>6.45652171587024</v>
      </c>
      <c r="U59" s="20" t="n">
        <f aca="false">IF((U55)=0,0,(U58)/(U55))</f>
        <v>6.461199082587</v>
      </c>
      <c r="V59" s="20" t="n">
        <f aca="false">IF((V55)=0,0,(V58)/(V55))</f>
        <v>6.52522950877192</v>
      </c>
      <c r="W59" s="20" t="n">
        <f aca="false">IF((W55)=0,0,(W58)/(W55))</f>
        <v>6.5884961257648</v>
      </c>
      <c r="X59" s="20" t="n">
        <f aca="false">IF((X55)=0,0,(X58)/(X55))</f>
        <v>6.60154274326013</v>
      </c>
      <c r="Y59" s="20" t="n">
        <f aca="false">IF((Y55)=0,0,(Y58)/(Y55))</f>
        <v>6.66580878069584</v>
      </c>
      <c r="Z59" s="20" t="n">
        <f aca="false">IF((Z55)=0,0,(Z58)/(Z55))</f>
        <v>6.72956577849204</v>
      </c>
      <c r="AA59" s="20" t="n">
        <f aca="false">IF((AA55)=0,0,(AA58)/(AA55))</f>
        <v>6.83725382243036</v>
      </c>
      <c r="AB59" s="20" t="n">
        <f aca="false">IF((AB55)=0,0,(AB58)/(AB55))</f>
        <v>6.84978728967817</v>
      </c>
      <c r="AC59" s="20" t="n">
        <f aca="false">IF((AC55)=0,0,(AC58)/(AC55))</f>
        <v>6.95631710903703</v>
      </c>
      <c r="AD59" s="20" t="n">
        <f aca="false">IF((AD55)=0,0,(AD58)/(AD55))</f>
        <v>6.97078842351683</v>
      </c>
      <c r="AE59" s="20" t="n">
        <f aca="false">IF((AE55)=0,0,(AE58)/(AE55))</f>
        <v>7.07638287163927</v>
      </c>
      <c r="AF59" s="20" t="n">
        <f aca="false">IF((AF55)=0,0,(AF58)/(AF55))</f>
        <v>7.09271290667434</v>
      </c>
      <c r="AG59" s="20" t="n">
        <f aca="false">IF((AG55)=0,0,(AG58)/(AG55))</f>
        <v>7.19756506970292</v>
      </c>
      <c r="AH59" s="20" t="n">
        <f aca="false">IF((AH55)=0,0,(AH58)/(AH55))</f>
        <v>7.21568418082793</v>
      </c>
      <c r="AI59" s="20" t="n">
        <f aca="false">IF((AI55)=0,0,(AI58)/(AI55))</f>
        <v>7.31996281758625</v>
      </c>
      <c r="AJ59" s="20" t="n">
        <f aca="false">IF((AJ55)=0,0,(AJ58)/(AJ55))</f>
        <v>7.3398096998756</v>
      </c>
      <c r="AK59" s="20" t="n">
        <f aca="false">IF((AK55)=0,0,(AK58)/(AK55))</f>
        <v>7.44366350485902</v>
      </c>
      <c r="AL59" s="20" t="n">
        <f aca="false">IF((AL55)=0,0,(AL58)/(AL55))</f>
        <v>7.46518419970128</v>
      </c>
      <c r="AM59" s="20" t="n">
        <f aca="false">IF((AM55)=0,0,(AM58)/(AM55))</f>
        <v>7.5687451816244</v>
      </c>
      <c r="AN59" s="20" t="n">
        <f aca="false">IF((AN55)=0,0,(AN58)/(AN55))</f>
        <v>7.59189221649489</v>
      </c>
      <c r="AO59" s="20" t="n">
        <f aca="false">IF((AO55)=0,0,(AO58)/(AO55))</f>
        <v>7.69527840357377</v>
      </c>
    </row>
    <row r="60" customFormat="false" ht="15" hidden="false" customHeight="false" outlineLevel="0" collapsed="false">
      <c r="A60" s="2" t="s">
        <v>433</v>
      </c>
      <c r="B60" s="2" t="s">
        <v>434</v>
      </c>
      <c r="C60" s="2" t="s">
        <v>411</v>
      </c>
      <c r="D60" s="2" t="s">
        <v>196</v>
      </c>
      <c r="E60" s="2" t="s">
        <v>85</v>
      </c>
      <c r="F60" s="17" t="s">
        <v>435</v>
      </c>
      <c r="G60" s="2" t="s">
        <v>436</v>
      </c>
      <c r="H60" s="2" t="s">
        <v>437</v>
      </c>
      <c r="J60" s="20" t="n">
        <f aca="false">IF((J56)=0,0,(J55)/(J56))</f>
        <v>12.8698224852071</v>
      </c>
      <c r="K60" s="20" t="n">
        <f aca="false">IF((K56)=0,0,(K55)/(K56))</f>
        <v>12.1147112265899</v>
      </c>
      <c r="L60" s="20" t="n">
        <f aca="false">IF((L56)=0,0,(L55)/(L56))</f>
        <v>12.2508491398607</v>
      </c>
      <c r="M60" s="20" t="n">
        <f aca="false">IF((M56)=0,0,(M55)/(M56))</f>
        <v>12.1315581389084</v>
      </c>
      <c r="N60" s="20" t="n">
        <f aca="false">IF((N56)=0,0,(N55)/(N56))</f>
        <v>12.0179662179674</v>
      </c>
      <c r="O60" s="20" t="n">
        <f aca="false">IF((O56)=0,0,(O55)/(O56))</f>
        <v>12.0718135505012</v>
      </c>
      <c r="P60" s="20" t="n">
        <f aca="false">IF((P56)=0,0,(P55)/(P56))</f>
        <v>11.950323399189</v>
      </c>
      <c r="Q60" s="20" t="n">
        <f aca="false">IF((Q56)=0,0,(Q55)/(Q56))</f>
        <v>11.8341425246511</v>
      </c>
      <c r="R60" s="20" t="n">
        <f aca="false">IF((R56)=0,0,(R55)/(R56))</f>
        <v>11.8483008500974</v>
      </c>
      <c r="S60" s="20" t="n">
        <f aca="false">IF((S56)=0,0,(S55)/(S56))</f>
        <v>11.7300641182668</v>
      </c>
      <c r="T60" s="20" t="n">
        <f aca="false">IF((T56)=0,0,(T55)/(T56))</f>
        <v>11.6161616580099</v>
      </c>
      <c r="U60" s="20" t="n">
        <f aca="false">IF((U56)=0,0,(U55)/(U56))</f>
        <v>11.6077525303509</v>
      </c>
      <c r="V60" s="20" t="n">
        <f aca="false">IF((V56)=0,0,(V55)/(V56))</f>
        <v>11.4938485917127</v>
      </c>
      <c r="W60" s="20" t="n">
        <f aca="false">IF((W56)=0,0,(W55)/(W56))</f>
        <v>11.3834778936436</v>
      </c>
      <c r="X60" s="20" t="n">
        <f aca="false">IF((X56)=0,0,(X55)/(X56))</f>
        <v>11.3609807459887</v>
      </c>
      <c r="Y60" s="20" t="n">
        <f aca="false">IF((Y56)=0,0,(Y55)/(Y56))</f>
        <v>11.2514478688917</v>
      </c>
      <c r="Z60" s="20" t="n">
        <f aca="false">IF((Z56)=0,0,(Z55)/(Z56))</f>
        <v>11.1448498266713</v>
      </c>
      <c r="AA60" s="20" t="n">
        <f aca="false">IF((AA56)=0,0,(AA55)/(AA56))</f>
        <v>10.9693163290142</v>
      </c>
      <c r="AB60" s="20" t="n">
        <f aca="false">IF((AB56)=0,0,(AB55)/(AB56))</f>
        <v>10.9492451120367</v>
      </c>
      <c r="AC60" s="20" t="n">
        <f aca="false">IF((AC56)=0,0,(AC55)/(AC56))</f>
        <v>10.781567146007</v>
      </c>
      <c r="AD60" s="20" t="n">
        <f aca="false">IF((AD56)=0,0,(AD55)/(AD56))</f>
        <v>10.7591846780169</v>
      </c>
      <c r="AE60" s="20" t="n">
        <f aca="false">IF((AE56)=0,0,(AE55)/(AE56))</f>
        <v>10.5986351163368</v>
      </c>
      <c r="AF60" s="20" t="n">
        <f aca="false">IF((AF56)=0,0,(AF55)/(AF56))</f>
        <v>10.5742331582918</v>
      </c>
      <c r="AG60" s="20" t="n">
        <f aca="false">IF((AG56)=0,0,(AG55)/(AG56))</f>
        <v>10.4201906163657</v>
      </c>
      <c r="AH60" s="20" t="n">
        <f aca="false">IF((AH56)=0,0,(AH55)/(AH56))</f>
        <v>10.3940247550295</v>
      </c>
      <c r="AI60" s="20" t="n">
        <f aca="false">IF((AI56)=0,0,(AI55)/(AI56))</f>
        <v>10.2459536843291</v>
      </c>
      <c r="AJ60" s="20" t="n">
        <f aca="false">IF((AJ56)=0,0,(AJ55)/(AJ56))</f>
        <v>10.218248574111</v>
      </c>
      <c r="AK60" s="20" t="n">
        <f aca="false">IF((AK56)=0,0,(AK55)/(AK56))</f>
        <v>10.0756838284055</v>
      </c>
      <c r="AL60" s="20" t="n">
        <f aca="false">IF((AL56)=0,0,(AL55)/(AL56))</f>
        <v>10.0466375636118</v>
      </c>
      <c r="AM60" s="20" t="n">
        <f aca="false">IF((AM56)=0,0,(AM55)/(AM56))</f>
        <v>9.90917228685239</v>
      </c>
      <c r="AN60" s="20" t="n">
        <f aca="false">IF((AN56)=0,0,(AN55)/(AN56))</f>
        <v>9.87896006176796</v>
      </c>
      <c r="AO60" s="20" t="n">
        <f aca="false">IF((AO56)=0,0,(AO55)/(AO56))</f>
        <v>9.74623607706893</v>
      </c>
    </row>
    <row r="61" customFormat="false" ht="15" hidden="false" customHeight="false" outlineLevel="0" collapsed="false">
      <c r="A61" s="2" t="s">
        <v>438</v>
      </c>
      <c r="B61" s="2" t="s">
        <v>439</v>
      </c>
      <c r="C61" s="2" t="s">
        <v>411</v>
      </c>
      <c r="D61" s="2" t="s">
        <v>274</v>
      </c>
      <c r="E61" s="2" t="s">
        <v>75</v>
      </c>
      <c r="F61" s="17" t="s">
        <v>440</v>
      </c>
      <c r="G61" s="2" t="s">
        <v>441</v>
      </c>
      <c r="H61" s="2" t="s">
        <v>442</v>
      </c>
      <c r="J61" s="21" t="n">
        <f aca="false">IF((IF(Timeline!J$9&gt;4,INDEX($J18:$AO18,1,Timeline!J$9-4),0))=0,0,((J18-IF(Timeline!J$9&gt;4,INDEX($J18:$AO18,1,Timeline!J$9-4),0)))/(IF(Timeline!J$9&gt;4,INDEX($J18:$AO18,1,Timeline!J$9-4),0)))</f>
        <v>0</v>
      </c>
      <c r="K61" s="21" t="n">
        <f aca="false">IF((IF(Timeline!K$9&gt;4,INDEX($J18:$AO18,1,Timeline!K$9-4),0))=0,0,((K18-IF(Timeline!K$9&gt;4,INDEX($J18:$AO18,1,Timeline!K$9-4),0)))/(IF(Timeline!K$9&gt;4,INDEX($J18:$AO18,1,Timeline!K$9-4),0)))</f>
        <v>0</v>
      </c>
      <c r="L61" s="21" t="n">
        <f aca="false">IF((IF(Timeline!L$9&gt;4,INDEX($J18:$AO18,1,Timeline!L$9-4),0))=0,0,((L18-IF(Timeline!L$9&gt;4,INDEX($J18:$AO18,1,Timeline!L$9-4),0)))/(IF(Timeline!L$9&gt;4,INDEX($J18:$AO18,1,Timeline!L$9-4),0)))</f>
        <v>0</v>
      </c>
      <c r="M61" s="21" t="n">
        <f aca="false">IF((IF(Timeline!M$9&gt;4,INDEX($J18:$AO18,1,Timeline!M$9-4),0))=0,0,((M18-IF(Timeline!M$9&gt;4,INDEX($J18:$AO18,1,Timeline!M$9-4),0)))/(IF(Timeline!M$9&gt;4,INDEX($J18:$AO18,1,Timeline!M$9-4),0)))</f>
        <v>0</v>
      </c>
      <c r="N61" s="21" t="n">
        <f aca="false">IF((IF(Timeline!N$9&gt;4,INDEX($J18:$AO18,1,Timeline!N$9-4),0))=0,0,((N18-IF(Timeline!N$9&gt;4,INDEX($J18:$AO18,1,Timeline!N$9-4),0)))/(IF(Timeline!N$9&gt;4,INDEX($J18:$AO18,1,Timeline!N$9-4),0)))</f>
        <v>0.380591996799999</v>
      </c>
      <c r="O61" s="21" t="n">
        <f aca="false">IF((IF(Timeline!O$9&gt;4,INDEX($J18:$AO18,1,Timeline!O$9-4),0))=0,0,((O18-IF(Timeline!O$9&gt;4,INDEX($J18:$AO18,1,Timeline!O$9-4),0)))/(IF(Timeline!O$9&gt;4,INDEX($J18:$AO18,1,Timeline!O$9-4),0)))</f>
        <v>0.408026391905462</v>
      </c>
      <c r="P61" s="21" t="n">
        <f aca="false">IF((IF(Timeline!P$9&gt;4,INDEX($J18:$AO18,1,Timeline!P$9-4),0))=0,0,((P18-IF(Timeline!P$9&gt;4,INDEX($J18:$AO18,1,Timeline!P$9-4),0)))/(IF(Timeline!P$9&gt;4,INDEX($J18:$AO18,1,Timeline!P$9-4),0)))</f>
        <v>0.425830011825758</v>
      </c>
      <c r="Q61" s="21" t="n">
        <f aca="false">IF((IF(Timeline!Q$9&gt;4,INDEX($J18:$AO18,1,Timeline!Q$9-4),0))=0,0,((Q18-IF(Timeline!Q$9&gt;4,INDEX($J18:$AO18,1,Timeline!Q$9-4),0)))/(IF(Timeline!Q$9&gt;4,INDEX($J18:$AO18,1,Timeline!Q$9-4),0)))</f>
        <v>0.436526526130108</v>
      </c>
      <c r="R61" s="21" t="n">
        <f aca="false">IF((IF(Timeline!R$9&gt;4,INDEX($J18:$AO18,1,Timeline!R$9-4),0))=0,0,((R18-IF(Timeline!R$9&gt;4,INDEX($J18:$AO18,1,Timeline!R$9-4),0)))/(IF(Timeline!R$9&gt;4,INDEX($J18:$AO18,1,Timeline!R$9-4),0)))</f>
        <v>0.43920756005282</v>
      </c>
      <c r="S61" s="21" t="n">
        <f aca="false">IF((IF(Timeline!S$9&gt;4,INDEX($J18:$AO18,1,Timeline!S$9-4),0))=0,0,((S18-IF(Timeline!S$9&gt;4,INDEX($J18:$AO18,1,Timeline!S$9-4),0)))/(IF(Timeline!S$9&gt;4,INDEX($J18:$AO18,1,Timeline!S$9-4),0)))</f>
        <v>0.43695889686047</v>
      </c>
      <c r="T61" s="21" t="n">
        <f aca="false">IF((IF(Timeline!T$9&gt;4,INDEX($J18:$AO18,1,Timeline!T$9-4),0))=0,0,((T18-IF(Timeline!T$9&gt;4,INDEX($J18:$AO18,1,Timeline!T$9-4),0)))/(IF(Timeline!T$9&gt;4,INDEX($J18:$AO18,1,Timeline!T$9-4),0)))</f>
        <v>0.431868267552753</v>
      </c>
      <c r="U61" s="21" t="n">
        <f aca="false">IF((IF(Timeline!U$9&gt;4,INDEX($J18:$AO18,1,Timeline!U$9-4),0))=0,0,((U18-IF(Timeline!U$9&gt;4,INDEX($J18:$AO18,1,Timeline!U$9-4),0)))/(IF(Timeline!U$9&gt;4,INDEX($J18:$AO18,1,Timeline!U$9-4),0)))</f>
        <v>0.423050401539269</v>
      </c>
      <c r="V61" s="21" t="n">
        <f aca="false">IF((IF(Timeline!V$9&gt;4,INDEX($J18:$AO18,1,Timeline!V$9-4),0))=0,0,((V18-IF(Timeline!V$9&gt;4,INDEX($J18:$AO18,1,Timeline!V$9-4),0)))/(IF(Timeline!V$9&gt;4,INDEX($J18:$AO18,1,Timeline!V$9-4),0)))</f>
        <v>0.412579721757109</v>
      </c>
      <c r="W61" s="21" t="n">
        <f aca="false">IF((IF(Timeline!W$9&gt;4,INDEX($J18:$AO18,1,Timeline!W$9-4),0))=0,0,((W18-IF(Timeline!W$9&gt;4,INDEX($J18:$AO18,1,Timeline!W$9-4),0)))/(IF(Timeline!W$9&gt;4,INDEX($J18:$AO18,1,Timeline!W$9-4),0)))</f>
        <v>0.401700370605004</v>
      </c>
      <c r="X61" s="21" t="n">
        <f aca="false">IF((IF(Timeline!X$9&gt;4,INDEX($J18:$AO18,1,Timeline!X$9-4),0))=0,0,((X18-IF(Timeline!X$9&gt;4,INDEX($J18:$AO18,1,Timeline!X$9-4),0)))/(IF(Timeline!X$9&gt;4,INDEX($J18:$AO18,1,Timeline!X$9-4),0)))</f>
        <v>0.389382221439645</v>
      </c>
      <c r="Y61" s="21" t="n">
        <f aca="false">IF((IF(Timeline!Y$9&gt;4,INDEX($J18:$AO18,1,Timeline!Y$9-4),0))=0,0,((Y18-IF(Timeline!Y$9&gt;4,INDEX($J18:$AO18,1,Timeline!Y$9-4),0)))/(IF(Timeline!Y$9&gt;4,INDEX($J18:$AO18,1,Timeline!Y$9-4),0)))</f>
        <v>0.376908005870012</v>
      </c>
      <c r="Z61" s="21" t="n">
        <f aca="false">IF((IF(Timeline!Z$9&gt;4,INDEX($J18:$AO18,1,Timeline!Z$9-4),0))=0,0,((Z18-IF(Timeline!Z$9&gt;4,INDEX($J18:$AO18,1,Timeline!Z$9-4),0)))/(IF(Timeline!Z$9&gt;4,INDEX($J18:$AO18,1,Timeline!Z$9-4),0)))</f>
        <v>0.364997010111703</v>
      </c>
      <c r="AA61" s="21" t="n">
        <f aca="false">IF((IF(Timeline!AA$9&gt;4,INDEX($J18:$AO18,1,Timeline!AA$9-4),0))=0,0,((AA18-IF(Timeline!AA$9&gt;4,INDEX($J18:$AO18,1,Timeline!AA$9-4),0)))/(IF(Timeline!AA$9&gt;4,INDEX($J18:$AO18,1,Timeline!AA$9-4),0)))</f>
        <v>0.351738368621234</v>
      </c>
      <c r="AB61" s="21" t="n">
        <f aca="false">IF((IF(Timeline!AB$9&gt;4,INDEX($J18:$AO18,1,Timeline!AB$9-4),0))=0,0,((AB18-IF(Timeline!AB$9&gt;4,INDEX($J18:$AO18,1,Timeline!AB$9-4),0)))/(IF(Timeline!AB$9&gt;4,INDEX($J18:$AO18,1,Timeline!AB$9-4),0)))</f>
        <v>0.336919459885639</v>
      </c>
      <c r="AC61" s="21" t="n">
        <f aca="false">IF((IF(Timeline!AC$9&gt;4,INDEX($J18:$AO18,1,Timeline!AC$9-4),0))=0,0,((AC18-IF(Timeline!AC$9&gt;4,INDEX($J18:$AO18,1,Timeline!AC$9-4),0)))/(IF(Timeline!AC$9&gt;4,INDEX($J18:$AO18,1,Timeline!AC$9-4),0)))</f>
        <v>0.321074022391195</v>
      </c>
      <c r="AD61" s="21" t="n">
        <f aca="false">IF((IF(Timeline!AD$9&gt;4,INDEX($J18:$AO18,1,Timeline!AD$9-4),0))=0,0,((AD18-IF(Timeline!AD$9&gt;4,INDEX($J18:$AO18,1,Timeline!AD$9-4),0)))/(IF(Timeline!AD$9&gt;4,INDEX($J18:$AO18,1,Timeline!AD$9-4),0)))</f>
        <v>0.304143344352988</v>
      </c>
      <c r="AE61" s="21" t="n">
        <f aca="false">IF((IF(Timeline!AE$9&gt;4,INDEX($J18:$AO18,1,Timeline!AE$9-4),0))=0,0,((AE18-IF(Timeline!AE$9&gt;4,INDEX($J18:$AO18,1,Timeline!AE$9-4),0)))/(IF(Timeline!AE$9&gt;4,INDEX($J18:$AO18,1,Timeline!AE$9-4),0)))</f>
        <v>0.287847754980355</v>
      </c>
      <c r="AF61" s="21" t="n">
        <f aca="false">IF((IF(Timeline!AF$9&gt;4,INDEX($J18:$AO18,1,Timeline!AF$9-4),0))=0,0,((AF18-IF(Timeline!AF$9&gt;4,INDEX($J18:$AO18,1,Timeline!AF$9-4),0)))/(IF(Timeline!AF$9&gt;4,INDEX($J18:$AO18,1,Timeline!AF$9-4),0)))</f>
        <v>0.273387320619926</v>
      </c>
      <c r="AG61" s="21" t="n">
        <f aca="false">IF((IF(Timeline!AG$9&gt;4,INDEX($J18:$AO18,1,Timeline!AG$9-4),0))=0,0,((AG18-IF(Timeline!AG$9&gt;4,INDEX($J18:$AO18,1,Timeline!AG$9-4),0)))/(IF(Timeline!AG$9&gt;4,INDEX($J18:$AO18,1,Timeline!AG$9-4),0)))</f>
        <v>0.260466950094868</v>
      </c>
      <c r="AH61" s="21" t="n">
        <f aca="false">IF((IF(Timeline!AH$9&gt;4,INDEX($J18:$AO18,1,Timeline!AH$9-4),0))=0,0,((AH18-IF(Timeline!AH$9&gt;4,INDEX($J18:$AO18,1,Timeline!AH$9-4),0)))/(IF(Timeline!AH$9&gt;4,INDEX($J18:$AO18,1,Timeline!AH$9-4),0)))</f>
        <v>0.248851719047485</v>
      </c>
      <c r="AI61" s="21" t="n">
        <f aca="false">IF((IF(Timeline!AI$9&gt;4,INDEX($J18:$AO18,1,Timeline!AI$9-4),0))=0,0,((AI18-IF(Timeline!AI$9&gt;4,INDEX($J18:$AO18,1,Timeline!AI$9-4),0)))/(IF(Timeline!AI$9&gt;4,INDEX($J18:$AO18,1,Timeline!AI$9-4),0)))</f>
        <v>0.238352271982459</v>
      </c>
      <c r="AJ61" s="21" t="n">
        <f aca="false">IF((IF(Timeline!AJ$9&gt;4,INDEX($J18:$AO18,1,Timeline!AJ$9-4),0))=0,0,((AJ18-IF(Timeline!AJ$9&gt;4,INDEX($J18:$AO18,1,Timeline!AJ$9-4),0)))/(IF(Timeline!AJ$9&gt;4,INDEX($J18:$AO18,1,Timeline!AJ$9-4),0)))</f>
        <v>0.228814278242935</v>
      </c>
      <c r="AK61" s="21" t="n">
        <f aca="false">IF((IF(Timeline!AK$9&gt;4,INDEX($J18:$AO18,1,Timeline!AK$9-4),0))=0,0,((AK18-IF(Timeline!AK$9&gt;4,INDEX($J18:$AO18,1,Timeline!AK$9-4),0)))/(IF(Timeline!AK$9&gt;4,INDEX($J18:$AO18,1,Timeline!AK$9-4),0)))</f>
        <v>0.220110686560607</v>
      </c>
      <c r="AL61" s="21" t="n">
        <f aca="false">IF((IF(Timeline!AL$9&gt;4,INDEX($J18:$AO18,1,Timeline!AL$9-4),0))=0,0,((AL18-IF(Timeline!AL$9&gt;4,INDEX($J18:$AO18,1,Timeline!AL$9-4),0)))/(IF(Timeline!AL$9&gt;4,INDEX($J18:$AO18,1,Timeline!AL$9-4),0)))</f>
        <v>0.212135948276105</v>
      </c>
      <c r="AM61" s="21" t="n">
        <f aca="false">IF((IF(Timeline!AM$9&gt;4,INDEX($J18:$AO18,1,Timeline!AM$9-4),0))=0,0,((AM18-IF(Timeline!AM$9&gt;4,INDEX($J18:$AO18,1,Timeline!AM$9-4),0)))/(IF(Timeline!AM$9&gt;4,INDEX($J18:$AO18,1,Timeline!AM$9-4),0)))</f>
        <v>0.204801649158388</v>
      </c>
      <c r="AN61" s="21" t="n">
        <f aca="false">IF((IF(Timeline!AN$9&gt;4,INDEX($J18:$AO18,1,Timeline!AN$9-4),0))=0,0,((AN18-IF(Timeline!AN$9&gt;4,INDEX($J18:$AO18,1,Timeline!AN$9-4),0)))/(IF(Timeline!AN$9&gt;4,INDEX($J18:$AO18,1,Timeline!AN$9-4),0)))</f>
        <v>0.198033164739656</v>
      </c>
      <c r="AO61" s="21" t="n">
        <f aca="false">IF((IF(Timeline!AO$9&gt;4,INDEX($J18:$AO18,1,Timeline!AO$9-4),0))=0,0,((AO18-IF(Timeline!AO$9&gt;4,INDEX($J18:$AO18,1,Timeline!AO$9-4),0)))/(IF(Timeline!AO$9&gt;4,INDEX($J18:$AO18,1,Timeline!AO$9-4),0)))</f>
        <v>0.19176706987489</v>
      </c>
    </row>
    <row r="62" customFormat="false" ht="15" hidden="false" customHeight="false" outlineLevel="0" collapsed="false">
      <c r="A62" s="2" t="s">
        <v>443</v>
      </c>
      <c r="B62" s="2" t="s">
        <v>444</v>
      </c>
      <c r="C62" s="2" t="s">
        <v>411</v>
      </c>
      <c r="D62" s="2" t="s">
        <v>274</v>
      </c>
      <c r="E62" s="2" t="s">
        <v>75</v>
      </c>
      <c r="F62" s="17" t="s">
        <v>445</v>
      </c>
      <c r="G62" s="2" t="s">
        <v>446</v>
      </c>
      <c r="H62" s="2" t="s">
        <v>447</v>
      </c>
      <c r="J62" s="21" t="n">
        <f aca="false">(J61+J33)</f>
        <v>-0.291731391585761</v>
      </c>
      <c r="K62" s="21" t="n">
        <f aca="false">(K61+K33)</f>
        <v>-0.277463025519817</v>
      </c>
      <c r="L62" s="21" t="n">
        <f aca="false">(L61+L33)</f>
        <v>-0.267005574242194</v>
      </c>
      <c r="M62" s="21" t="n">
        <f aca="false">(M61+M33)</f>
        <v>-0.263310467617038</v>
      </c>
      <c r="N62" s="21" t="n">
        <f aca="false">(N61+N33)</f>
        <v>0.109117721351845</v>
      </c>
      <c r="O62" s="21" t="n">
        <f aca="false">(O61+O33)</f>
        <v>0.161243960269927</v>
      </c>
      <c r="P62" s="21" t="n">
        <f aca="false">(P61+P33)</f>
        <v>0.208531271930598</v>
      </c>
      <c r="Q62" s="21" t="n">
        <f aca="false">(Q61+Q33)</f>
        <v>0.252328506823253</v>
      </c>
      <c r="R62" s="21" t="n">
        <f aca="false">(R61+R33)</f>
        <v>-0.0322865712532047</v>
      </c>
      <c r="S62" s="21" t="n">
        <f aca="false">(S61+S33)</f>
        <v>0.0275292632597094</v>
      </c>
      <c r="T62" s="21" t="n">
        <f aca="false">(T61+T33)</f>
        <v>0.0819161419054519</v>
      </c>
      <c r="U62" s="21" t="n">
        <f aca="false">(U61+U33)</f>
        <v>0.128959004756962</v>
      </c>
      <c r="V62" s="21" t="n">
        <f aca="false">(V61+V33)</f>
        <v>0.383336840113945</v>
      </c>
      <c r="W62" s="21" t="n">
        <f aca="false">(W61+W33)</f>
        <v>0.412394835647318</v>
      </c>
      <c r="X62" s="21" t="n">
        <f aca="false">(X61+X33)</f>
        <v>0.437203267907657</v>
      </c>
      <c r="Y62" s="21" t="n">
        <f aca="false">(Y61+Y33)</f>
        <v>0.459233816402386</v>
      </c>
      <c r="Z62" s="21" t="n">
        <f aca="false">(Z61+Z33)</f>
        <v>0.471215439423506</v>
      </c>
      <c r="AA62" s="21" t="n">
        <f aca="false">(AA61+AA33)</f>
        <v>0.496460834709356</v>
      </c>
      <c r="AB62" s="21" t="n">
        <f aca="false">(AB61+AB33)</f>
        <v>0.511779090035128</v>
      </c>
      <c r="AC62" s="21" t="n">
        <f aca="false">(AC61+AC33)</f>
        <v>0.526908828492198</v>
      </c>
      <c r="AD62" s="21" t="n">
        <f aca="false">(AD61+AD33)</f>
        <v>0.531031932050632</v>
      </c>
      <c r="AE62" s="21" t="n">
        <f aca="false">(AE61+AE33)</f>
        <v>0.540466735526634</v>
      </c>
      <c r="AF62" s="21" t="n">
        <f aca="false">(AF61+AF33)</f>
        <v>0.546212753513576</v>
      </c>
      <c r="AG62" s="21" t="n">
        <f aca="false">(AG61+AG33)</f>
        <v>0.554938709424679</v>
      </c>
      <c r="AH62" s="21" t="n">
        <f aca="false">(AH61+AH33)</f>
        <v>0.557715816548716</v>
      </c>
      <c r="AI62" s="21" t="n">
        <f aca="false">(AI61+AI33)</f>
        <v>0.565858113868341</v>
      </c>
      <c r="AJ62" s="21" t="n">
        <f aca="false">(AJ61+AJ33)</f>
        <v>0.57094365007833</v>
      </c>
      <c r="AK62" s="21" t="n">
        <f aca="false">(AK61+AK33)</f>
        <v>0.578403904413395</v>
      </c>
      <c r="AL62" s="21" t="n">
        <f aca="false">(AL61+AL33)</f>
        <v>0.580945908719796</v>
      </c>
      <c r="AM62" s="21" t="n">
        <f aca="false">(AM61+AM33)</f>
        <v>0.58788527004897</v>
      </c>
      <c r="AN62" s="21" t="n">
        <f aca="false">(AN61+AN33)</f>
        <v>0.592283385842753</v>
      </c>
      <c r="AO62" s="21" t="n">
        <f aca="false">(AO61+AO33)</f>
        <v>0.598664383235445</v>
      </c>
    </row>
    <row r="63" customFormat="false" ht="15" hidden="false" customHeight="false" outlineLevel="0" collapsed="false">
      <c r="A63" s="2" t="s">
        <v>448</v>
      </c>
      <c r="B63" s="2" t="s">
        <v>449</v>
      </c>
      <c r="C63" s="2" t="s">
        <v>411</v>
      </c>
      <c r="D63" s="2" t="s">
        <v>394</v>
      </c>
      <c r="E63" s="2" t="s">
        <v>395</v>
      </c>
      <c r="F63" s="17" t="s">
        <v>450</v>
      </c>
      <c r="G63" s="2" t="s">
        <v>451</v>
      </c>
      <c r="H63" s="2" t="s">
        <v>398</v>
      </c>
      <c r="J63" s="23" t="b">
        <f aca="false">(J62&gt;=0.4)</f>
        <v>0</v>
      </c>
      <c r="K63" s="23" t="b">
        <f aca="false">(K62&gt;=0.4)</f>
        <v>0</v>
      </c>
      <c r="L63" s="23" t="b">
        <f aca="false">(L62&gt;=0.4)</f>
        <v>0</v>
      </c>
      <c r="M63" s="23" t="b">
        <f aca="false">(M62&gt;=0.4)</f>
        <v>0</v>
      </c>
      <c r="N63" s="23" t="b">
        <f aca="false">(N62&gt;=0.4)</f>
        <v>0</v>
      </c>
      <c r="O63" s="23" t="b">
        <f aca="false">(O62&gt;=0.4)</f>
        <v>0</v>
      </c>
      <c r="P63" s="23" t="b">
        <f aca="false">(P62&gt;=0.4)</f>
        <v>0</v>
      </c>
      <c r="Q63" s="23" t="b">
        <f aca="false">(Q62&gt;=0.4)</f>
        <v>0</v>
      </c>
      <c r="R63" s="23" t="b">
        <f aca="false">(R62&gt;=0.4)</f>
        <v>0</v>
      </c>
      <c r="S63" s="23" t="b">
        <f aca="false">(S62&gt;=0.4)</f>
        <v>0</v>
      </c>
      <c r="T63" s="23" t="b">
        <f aca="false">(T62&gt;=0.4)</f>
        <v>0</v>
      </c>
      <c r="U63" s="23" t="b">
        <f aca="false">(U62&gt;=0.4)</f>
        <v>0</v>
      </c>
      <c r="V63" s="23" t="b">
        <f aca="false">(V62&gt;=0.4)</f>
        <v>0</v>
      </c>
      <c r="W63" s="23" t="b">
        <f aca="false">(W62&gt;=0.4)</f>
        <v>1</v>
      </c>
      <c r="X63" s="23" t="b">
        <f aca="false">(X62&gt;=0.4)</f>
        <v>1</v>
      </c>
      <c r="Y63" s="23" t="b">
        <f aca="false">(Y62&gt;=0.4)</f>
        <v>1</v>
      </c>
      <c r="Z63" s="23" t="b">
        <f aca="false">(Z62&gt;=0.4)</f>
        <v>1</v>
      </c>
      <c r="AA63" s="23" t="b">
        <f aca="false">(AA62&gt;=0.4)</f>
        <v>1</v>
      </c>
      <c r="AB63" s="23" t="b">
        <f aca="false">(AB62&gt;=0.4)</f>
        <v>1</v>
      </c>
      <c r="AC63" s="23" t="b">
        <f aca="false">(AC62&gt;=0.4)</f>
        <v>1</v>
      </c>
      <c r="AD63" s="23" t="b">
        <f aca="false">(AD62&gt;=0.4)</f>
        <v>1</v>
      </c>
      <c r="AE63" s="23" t="b">
        <f aca="false">(AE62&gt;=0.4)</f>
        <v>1</v>
      </c>
      <c r="AF63" s="23" t="b">
        <f aca="false">(AF62&gt;=0.4)</f>
        <v>1</v>
      </c>
      <c r="AG63" s="23" t="b">
        <f aca="false">(AG62&gt;=0.4)</f>
        <v>1</v>
      </c>
      <c r="AH63" s="23" t="b">
        <f aca="false">(AH62&gt;=0.4)</f>
        <v>1</v>
      </c>
      <c r="AI63" s="23" t="b">
        <f aca="false">(AI62&gt;=0.4)</f>
        <v>1</v>
      </c>
      <c r="AJ63" s="23" t="b">
        <f aca="false">(AJ62&gt;=0.4)</f>
        <v>1</v>
      </c>
      <c r="AK63" s="23" t="b">
        <f aca="false">(AK62&gt;=0.4)</f>
        <v>1</v>
      </c>
      <c r="AL63" s="23" t="b">
        <f aca="false">(AL62&gt;=0.4)</f>
        <v>1</v>
      </c>
      <c r="AM63" s="23" t="b">
        <f aca="false">(AM62&gt;=0.4)</f>
        <v>1</v>
      </c>
      <c r="AN63" s="23" t="b">
        <f aca="false">(AN62&gt;=0.4)</f>
        <v>1</v>
      </c>
      <c r="AO63" s="23" t="b">
        <f aca="false">(AO62&gt;=0.4)</f>
        <v>1</v>
      </c>
    </row>
    <row r="64" customFormat="false" ht="15" hidden="false" customHeight="false" outlineLevel="0" collapsed="false">
      <c r="A64" s="2" t="s">
        <v>452</v>
      </c>
      <c r="B64" s="2" t="s">
        <v>453</v>
      </c>
      <c r="C64" s="2" t="s">
        <v>411</v>
      </c>
      <c r="D64" s="2" t="s">
        <v>54</v>
      </c>
      <c r="E64" s="2" t="s">
        <v>55</v>
      </c>
      <c r="F64" s="17" t="s">
        <v>454</v>
      </c>
      <c r="G64" s="2" t="s">
        <v>455</v>
      </c>
      <c r="H64" s="2" t="s">
        <v>456</v>
      </c>
      <c r="J64" s="22" t="n">
        <f aca="false">(J17-IF(Timeline!J$9&gt;1,INDEX($J17:$AO17,1,Timeline!J$9-1),0))</f>
        <v>10176000</v>
      </c>
      <c r="K64" s="22" t="n">
        <f aca="false">(K17-IF(Timeline!K$9&gt;1,INDEX($J17:$AO17,1,Timeline!K$9-1),0))</f>
        <v>801783.534479082</v>
      </c>
      <c r="L64" s="22" t="n">
        <f aca="false">(L17-IF(Timeline!L$9&gt;1,INDEX($J17:$AO17,1,Timeline!L$9-1),0))</f>
        <v>929993.75379879</v>
      </c>
      <c r="M64" s="22" t="n">
        <f aca="false">(M17-IF(Timeline!M$9&gt;1,INDEX($J17:$AO17,1,Timeline!M$9-1),0))</f>
        <v>1080756.90738535</v>
      </c>
      <c r="N64" s="22" t="n">
        <f aca="false">(N17-IF(Timeline!N$9&gt;1,INDEX($J17:$AO17,1,Timeline!N$9-1),0))</f>
        <v>1229182.04697357</v>
      </c>
      <c r="O64" s="22" t="n">
        <f aca="false">(O17-IF(Timeline!O$9&gt;1,INDEX($J17:$AO17,1,Timeline!O$9-1),0))</f>
        <v>1350471.57035335</v>
      </c>
      <c r="P64" s="22" t="n">
        <f aca="false">(P17-IF(Timeline!P$9&gt;1,INDEX($J17:$AO17,1,Timeline!P$9-1),0))</f>
        <v>1495168.83519287</v>
      </c>
      <c r="Q64" s="22" t="n">
        <f aca="false">(Q17-IF(Timeline!Q$9&gt;1,INDEX($J17:$AO17,1,Timeline!Q$9-1),0))</f>
        <v>1637813.6399174</v>
      </c>
      <c r="R64" s="22" t="n">
        <f aca="false">(R17-IF(Timeline!R$9&gt;1,INDEX($J17:$AO17,1,Timeline!R$9-1),0))</f>
        <v>1753041.59393625</v>
      </c>
      <c r="S64" s="22" t="n">
        <f aca="false">(S17-IF(Timeline!S$9&gt;1,INDEX($J17:$AO17,1,Timeline!S$9-1),0))</f>
        <v>1892518.51957471</v>
      </c>
      <c r="T64" s="22" t="n">
        <f aca="false">(T17-IF(Timeline!T$9&gt;1,INDEX($J17:$AO17,1,Timeline!T$9-1),0))</f>
        <v>2030203.28215563</v>
      </c>
      <c r="U64" s="22" t="n">
        <f aca="false">(U17-IF(Timeline!U$9&gt;1,INDEX($J17:$AO17,1,Timeline!U$9-1),0))</f>
        <v>2140153.04266226</v>
      </c>
      <c r="V64" s="22" t="n">
        <f aca="false">(V17-IF(Timeline!V$9&gt;1,INDEX($J17:$AO17,1,Timeline!V$9-1),0))</f>
        <v>2275182.26110565</v>
      </c>
      <c r="W64" s="22" t="n">
        <f aca="false">(W17-IF(Timeline!W$9&gt;1,INDEX($J17:$AO17,1,Timeline!W$9-1),0))</f>
        <v>2408656.8250318</v>
      </c>
      <c r="X64" s="22" t="n">
        <f aca="false">(X17-IF(Timeline!X$9&gt;1,INDEX($J17:$AO17,1,Timeline!X$9-1),0))</f>
        <v>2514043.42590246</v>
      </c>
      <c r="Y64" s="22" t="n">
        <f aca="false">(Y17-IF(Timeline!Y$9&gt;1,INDEX($J17:$AO17,1,Timeline!Y$9-1),0))</f>
        <v>2645331.82476261</v>
      </c>
      <c r="Z64" s="22" t="n">
        <f aca="false">(Z17-IF(Timeline!Z$9&gt;1,INDEX($J17:$AO17,1,Timeline!Z$9-1),0))</f>
        <v>2775282.52348285</v>
      </c>
      <c r="AA64" s="22" t="n">
        <f aca="false">(AA17-IF(Timeline!AA$9&gt;1,INDEX($J17:$AO17,1,Timeline!AA$9-1),0))</f>
        <v>2822334.23737647</v>
      </c>
      <c r="AB64" s="22" t="n">
        <f aca="false">(AB17-IF(Timeline!AB$9&gt;1,INDEX($J17:$AO17,1,Timeline!AB$9-1),0))</f>
        <v>2869672.05464353</v>
      </c>
      <c r="AC64" s="22" t="n">
        <f aca="false">(AC17-IF(Timeline!AC$9&gt;1,INDEX($J17:$AO17,1,Timeline!AC$9-1),0))</f>
        <v>2917306.15306145</v>
      </c>
      <c r="AD64" s="22" t="n">
        <f aca="false">(AD17-IF(Timeline!AD$9&gt;1,INDEX($J17:$AO17,1,Timeline!AD$9-1),0))</f>
        <v>2965246.56544244</v>
      </c>
      <c r="AE64" s="22" t="n">
        <f aca="false">(AE17-IF(Timeline!AE$9&gt;1,INDEX($J17:$AO17,1,Timeline!AE$9-1),0))</f>
        <v>3013503.18613628</v>
      </c>
      <c r="AF64" s="22" t="n">
        <f aca="false">(AF17-IF(Timeline!AF$9&gt;1,INDEX($J17:$AO17,1,Timeline!AF$9-1),0))</f>
        <v>3062085.7773343</v>
      </c>
      <c r="AG64" s="22" t="n">
        <f aca="false">(AG17-IF(Timeline!AG$9&gt;1,INDEX($J17:$AO17,1,Timeline!AG$9-1),0))</f>
        <v>3111003.97518198</v>
      </c>
      <c r="AH64" s="22" t="n">
        <f aca="false">(AH17-IF(Timeline!AH$9&gt;1,INDEX($J17:$AO17,1,Timeline!AH$9-1),0))</f>
        <v>3160267.29570565</v>
      </c>
      <c r="AI64" s="22" t="n">
        <f aca="false">(AI17-IF(Timeline!AI$9&gt;1,INDEX($J17:$AO17,1,Timeline!AI$9-1),0))</f>
        <v>3209885.14056059</v>
      </c>
      <c r="AJ64" s="22" t="n">
        <f aca="false">(AJ17-IF(Timeline!AJ$9&gt;1,INDEX($J17:$AO17,1,Timeline!AJ$9-1),0))</f>
        <v>3259866.80260543</v>
      </c>
      <c r="AK64" s="22" t="n">
        <f aca="false">(AK17-IF(Timeline!AK$9&gt;1,INDEX($J17:$AO17,1,Timeline!AK$9-1),0))</f>
        <v>3310221.47130989</v>
      </c>
      <c r="AL64" s="22" t="n">
        <f aca="false">(AL17-IF(Timeline!AL$9&gt;1,INDEX($J17:$AO17,1,Timeline!AL$9-1),0))</f>
        <v>3360958.23799999</v>
      </c>
      <c r="AM64" s="22" t="n">
        <f aca="false">(AM17-IF(Timeline!AM$9&gt;1,INDEX($J17:$AO17,1,Timeline!AM$9-1),0))</f>
        <v>3412086.10094818</v>
      </c>
      <c r="AN64" s="22" t="n">
        <f aca="false">(AN17-IF(Timeline!AN$9&gt;1,INDEX($J17:$AO17,1,Timeline!AN$9-1),0))</f>
        <v>3463613.97031131</v>
      </c>
      <c r="AO64" s="22" t="n">
        <f aca="false">(AO17-IF(Timeline!AO$9&gt;1,INDEX($J17:$AO17,1,Timeline!AO$9-1),0))</f>
        <v>3515550.67292386</v>
      </c>
    </row>
    <row r="65" customFormat="false" ht="15" hidden="false" customHeight="false" outlineLevel="0" collapsed="false">
      <c r="A65" s="2" t="s">
        <v>457</v>
      </c>
      <c r="B65" s="2" t="s">
        <v>458</v>
      </c>
      <c r="C65" s="2" t="s">
        <v>411</v>
      </c>
      <c r="D65" s="2" t="s">
        <v>196</v>
      </c>
      <c r="E65" s="2" t="s">
        <v>430</v>
      </c>
      <c r="F65" s="17" t="s">
        <v>459</v>
      </c>
      <c r="G65" s="2" t="s">
        <v>460</v>
      </c>
      <c r="H65" s="2" t="s">
        <v>461</v>
      </c>
      <c r="J65" s="20" t="n">
        <f aca="false">IF((J64)=0,0,(J53)/(J64))</f>
        <v>0.0561004135435513</v>
      </c>
      <c r="K65" s="20" t="n">
        <f aca="false">IF((K64)=0,0,(K53)/(K64))</f>
        <v>1.42550666351116</v>
      </c>
      <c r="L65" s="20" t="n">
        <f aca="false">IF((L64)=0,0,(L53)/(L64))</f>
        <v>1.25892098278867</v>
      </c>
      <c r="M65" s="20" t="n">
        <f aca="false">IF((M64)=0,0,(M53)/(M64))</f>
        <v>1.13328980938282</v>
      </c>
      <c r="N65" s="20" t="n">
        <f aca="false">IF((N64)=0,0,(N53)/(N64))</f>
        <v>0.957842787993787</v>
      </c>
      <c r="O65" s="20" t="n">
        <f aca="false">IF((O64)=0,0,(O53)/(O64))</f>
        <v>0.868178943805012</v>
      </c>
      <c r="P65" s="20" t="n">
        <f aca="false">IF((P64)=0,0,(P53)/(P64))</f>
        <v>0.762417157026051</v>
      </c>
      <c r="Q65" s="20" t="n">
        <f aca="false">IF((Q64)=0,0,(Q53)/(Q64))</f>
        <v>0.657620329458494</v>
      </c>
      <c r="R65" s="20" t="n">
        <f aca="false">IF((R64)=0,0,(R53)/(R64))</f>
        <v>1.83557372051415</v>
      </c>
      <c r="S65" s="20" t="n">
        <f aca="false">IF((S64)=0,0,(S53)/(S64))</f>
        <v>1.63912875218869</v>
      </c>
      <c r="T65" s="20" t="n">
        <f aca="false">IF((T64)=0,0,(T53)/(T64))</f>
        <v>1.45645085215784</v>
      </c>
      <c r="U65" s="20" t="n">
        <f aca="false">IF((U64)=0,0,(U53)/(U64))</f>
        <v>1.30193337002912</v>
      </c>
      <c r="V65" s="20" t="n">
        <f aca="false">IF((V64)=0,0,(V53)/(V64))</f>
        <v>0.226428745147638</v>
      </c>
      <c r="W65" s="20" t="n">
        <f aca="false">IF((W64)=0,0,(W53)/(W64))</f>
        <v>0.0977135851568675</v>
      </c>
      <c r="X65" s="20" t="n">
        <f aca="false">IF((X64)=0,0,(X53)/(X64))</f>
        <v>0</v>
      </c>
      <c r="Y65" s="20" t="n">
        <f aca="false">IF((Y64)=0,0,(Y53)/(Y64))</f>
        <v>0</v>
      </c>
      <c r="Z65" s="20" t="n">
        <f aca="false">IF((Z64)=0,0,(Z53)/(Z64))</f>
        <v>0</v>
      </c>
      <c r="AA65" s="20" t="n">
        <f aca="false">IF((AA64)=0,0,(AA53)/(AA64))</f>
        <v>0</v>
      </c>
      <c r="AB65" s="20" t="n">
        <f aca="false">IF((AB64)=0,0,(AB53)/(AB64))</f>
        <v>0</v>
      </c>
      <c r="AC65" s="20" t="n">
        <f aca="false">IF((AC64)=0,0,(AC53)/(AC64))</f>
        <v>0</v>
      </c>
      <c r="AD65" s="20" t="n">
        <f aca="false">IF((AD64)=0,0,(AD53)/(AD64))</f>
        <v>0</v>
      </c>
      <c r="AE65" s="20" t="n">
        <f aca="false">IF((AE64)=0,0,(AE53)/(AE64))</f>
        <v>0</v>
      </c>
      <c r="AF65" s="20" t="n">
        <f aca="false">IF((AF64)=0,0,(AF53)/(AF64))</f>
        <v>0</v>
      </c>
      <c r="AG65" s="20" t="n">
        <f aca="false">IF((AG64)=0,0,(AG53)/(AG64))</f>
        <v>0</v>
      </c>
      <c r="AH65" s="20" t="n">
        <f aca="false">IF((AH64)=0,0,(AH53)/(AH64))</f>
        <v>0</v>
      </c>
      <c r="AI65" s="20" t="n">
        <f aca="false">IF((AI64)=0,0,(AI53)/(AI64))</f>
        <v>0</v>
      </c>
      <c r="AJ65" s="20" t="n">
        <f aca="false">IF((AJ64)=0,0,(AJ53)/(AJ64))</f>
        <v>0</v>
      </c>
      <c r="AK65" s="20" t="n">
        <f aca="false">IF((AK64)=0,0,(AK53)/(AK64))</f>
        <v>0</v>
      </c>
      <c r="AL65" s="20" t="n">
        <f aca="false">IF((AL64)=0,0,(AL53)/(AL64))</f>
        <v>0</v>
      </c>
      <c r="AM65" s="20" t="n">
        <f aca="false">IF((AM64)=0,0,(AM53)/(AM64))</f>
        <v>0</v>
      </c>
      <c r="AN65" s="20" t="n">
        <f aca="false">IF((AN64)=0,0,(AN53)/(AN64))</f>
        <v>0</v>
      </c>
      <c r="AO65" s="20" t="n">
        <f aca="false">IF((AO64)=0,0,(AO53)/(AO64))</f>
        <v>0</v>
      </c>
    </row>
    <row r="66" customFormat="false" ht="15" hidden="false" customHeight="false" outlineLevel="0" collapsed="false">
      <c r="A66" s="2" t="s">
        <v>462</v>
      </c>
      <c r="B66" s="2" t="s">
        <v>463</v>
      </c>
      <c r="C66" s="2" t="s">
        <v>411</v>
      </c>
      <c r="D66" s="2" t="s">
        <v>65</v>
      </c>
      <c r="E66" s="2" t="s">
        <v>66</v>
      </c>
      <c r="F66" s="17" t="s">
        <v>464</v>
      </c>
      <c r="G66" s="2" t="s">
        <v>465</v>
      </c>
      <c r="H66" s="2"/>
      <c r="J66" s="18" t="n">
        <f aca="false">SUM(Driver_Series!J4,Driver_Series!J5,Driver_Series!J6)</f>
        <v>32</v>
      </c>
      <c r="K66" s="18" t="n">
        <f aca="false">SUM(Driver_Series!K4,Driver_Series!K5,Driver_Series!K6)</f>
        <v>33</v>
      </c>
      <c r="L66" s="18" t="n">
        <f aca="false">SUM(Driver_Series!L4,Driver_Series!L5,Driver_Series!L6)</f>
        <v>35</v>
      </c>
      <c r="M66" s="18" t="n">
        <f aca="false">SUM(Driver_Series!M4,Driver_Series!M5,Driver_Series!M6)</f>
        <v>38</v>
      </c>
      <c r="N66" s="18" t="n">
        <f aca="false">SUM(Driver_Series!N4,Driver_Series!N5,Driver_Series!N6)</f>
        <v>43</v>
      </c>
      <c r="O66" s="18" t="n">
        <f aca="false">SUM(Driver_Series!O4,Driver_Series!O5,Driver_Series!O6)</f>
        <v>46</v>
      </c>
      <c r="P66" s="18" t="n">
        <f aca="false">SUM(Driver_Series!P4,Driver_Series!P5,Driver_Series!P6)</f>
        <v>49</v>
      </c>
      <c r="Q66" s="18" t="n">
        <f aca="false">SUM(Driver_Series!Q4,Driver_Series!Q5,Driver_Series!Q6)</f>
        <v>52</v>
      </c>
      <c r="R66" s="18" t="n">
        <f aca="false">SUM(Driver_Series!R4,Driver_Series!R5,Driver_Series!R6)</f>
        <v>57</v>
      </c>
      <c r="S66" s="18" t="n">
        <f aca="false">SUM(Driver_Series!S4,Driver_Series!S5,Driver_Series!S6)</f>
        <v>60</v>
      </c>
      <c r="T66" s="18" t="n">
        <f aca="false">SUM(Driver_Series!T4,Driver_Series!T5,Driver_Series!T6)</f>
        <v>63</v>
      </c>
      <c r="U66" s="18" t="n">
        <f aca="false">SUM(Driver_Series!U4,Driver_Series!U5,Driver_Series!U6)</f>
        <v>66</v>
      </c>
      <c r="V66" s="18" t="n">
        <f aca="false">SUM(Driver_Series!V4,Driver_Series!V5,Driver_Series!V6)</f>
        <v>70</v>
      </c>
      <c r="W66" s="18" t="n">
        <f aca="false">SUM(Driver_Series!W4,Driver_Series!W5,Driver_Series!W6)</f>
        <v>72</v>
      </c>
      <c r="X66" s="18" t="n">
        <f aca="false">SUM(Driver_Series!X4,Driver_Series!X5,Driver_Series!X6)</f>
        <v>74</v>
      </c>
      <c r="Y66" s="18" t="n">
        <f aca="false">SUM(Driver_Series!Y4,Driver_Series!Y5,Driver_Series!Y6)</f>
        <v>76</v>
      </c>
      <c r="Z66" s="18" t="n">
        <f aca="false">SUM(Driver_Series!Z4,Driver_Series!Z5,Driver_Series!Z6)</f>
        <v>80</v>
      </c>
      <c r="AA66" s="18" t="n">
        <f aca="false">SUM(Driver_Series!AA4,Driver_Series!AA5,Driver_Series!AA6)</f>
        <v>81</v>
      </c>
      <c r="AB66" s="18" t="n">
        <f aca="false">SUM(Driver_Series!AB4,Driver_Series!AB5,Driver_Series!AB6)</f>
        <v>83</v>
      </c>
      <c r="AC66" s="18" t="n">
        <f aca="false">SUM(Driver_Series!AC4,Driver_Series!AC5,Driver_Series!AC6)</f>
        <v>84</v>
      </c>
      <c r="AD66" s="18" t="n">
        <f aca="false">SUM(Driver_Series!AD4,Driver_Series!AD5,Driver_Series!AD6)</f>
        <v>87</v>
      </c>
      <c r="AE66" s="18" t="n">
        <f aca="false">SUM(Driver_Series!AE4,Driver_Series!AE5,Driver_Series!AE6)</f>
        <v>88</v>
      </c>
      <c r="AF66" s="18" t="n">
        <f aca="false">SUM(Driver_Series!AF4,Driver_Series!AF5,Driver_Series!AF6)</f>
        <v>90</v>
      </c>
      <c r="AG66" s="18" t="n">
        <f aca="false">SUM(Driver_Series!AG4,Driver_Series!AG5,Driver_Series!AG6)</f>
        <v>91</v>
      </c>
      <c r="AH66" s="18" t="n">
        <f aca="false">SUM(Driver_Series!AH4,Driver_Series!AH5,Driver_Series!AH6)</f>
        <v>94</v>
      </c>
      <c r="AI66" s="18" t="n">
        <f aca="false">SUM(Driver_Series!AI4,Driver_Series!AI5,Driver_Series!AI6)</f>
        <v>95</v>
      </c>
      <c r="AJ66" s="18" t="n">
        <f aca="false">SUM(Driver_Series!AJ4,Driver_Series!AJ5,Driver_Series!AJ6)</f>
        <v>97</v>
      </c>
      <c r="AK66" s="18" t="n">
        <f aca="false">SUM(Driver_Series!AK4,Driver_Series!AK5,Driver_Series!AK6)</f>
        <v>98</v>
      </c>
      <c r="AL66" s="18" t="n">
        <f aca="false">SUM(Driver_Series!AL4,Driver_Series!AL5,Driver_Series!AL6)</f>
        <v>101</v>
      </c>
      <c r="AM66" s="18" t="n">
        <f aca="false">SUM(Driver_Series!AM4,Driver_Series!AM5,Driver_Series!AM6)</f>
        <v>102</v>
      </c>
      <c r="AN66" s="18" t="n">
        <f aca="false">SUM(Driver_Series!AN4,Driver_Series!AN5,Driver_Series!AN6)</f>
        <v>104</v>
      </c>
      <c r="AO66" s="18" t="n">
        <f aca="false">SUM(Driver_Series!AO4,Driver_Series!AO5,Driver_Series!AO6)</f>
        <v>105</v>
      </c>
    </row>
    <row r="67" customFormat="false" ht="15" hidden="false" customHeight="false" outlineLevel="0" collapsed="false">
      <c r="A67" s="2" t="s">
        <v>466</v>
      </c>
      <c r="B67" s="2" t="s">
        <v>467</v>
      </c>
      <c r="C67" s="2" t="s">
        <v>411</v>
      </c>
      <c r="D67" s="2" t="s">
        <v>54</v>
      </c>
      <c r="E67" s="2" t="s">
        <v>101</v>
      </c>
      <c r="F67" s="17" t="s">
        <v>468</v>
      </c>
      <c r="G67" s="2" t="s">
        <v>469</v>
      </c>
      <c r="H67" s="2"/>
      <c r="J67" s="22" t="n">
        <f aca="false">((J18*4)/J66)</f>
        <v>309000</v>
      </c>
      <c r="K67" s="22" t="n">
        <f aca="false">((K18*4)/K66)</f>
        <v>321655.449346807</v>
      </c>
      <c r="L67" s="22" t="n">
        <f aca="false">((L18*4)/L66)</f>
        <v>328099.769017037</v>
      </c>
      <c r="M67" s="22" t="n">
        <f aca="false">((M18*4)/M66)</f>
        <v>328745.162142125</v>
      </c>
      <c r="N67" s="22" t="n">
        <f aca="false">((N18*4)/N66)</f>
        <v>317471.945682753</v>
      </c>
      <c r="O67" s="22" t="n">
        <f aca="false">((O18*4)/O66)</f>
        <v>324906.063886022</v>
      </c>
      <c r="P67" s="22" t="n">
        <f aca="false">((P18*4)/P66)</f>
        <v>334153.21252685</v>
      </c>
      <c r="Q67" s="22" t="n">
        <f aca="false">((Q18*4)/Q66)</f>
        <v>345106.606512616</v>
      </c>
      <c r="R67" s="22" t="n">
        <f aca="false">((R18*4)/R66)</f>
        <v>344685.000811329</v>
      </c>
      <c r="S67" s="22" t="n">
        <f aca="false">((S18*4)/S66)</f>
        <v>357938.772011117</v>
      </c>
      <c r="T67" s="22" t="n">
        <f aca="false">((T18*4)/T66)</f>
        <v>372138.185625117</v>
      </c>
      <c r="U67" s="22" t="n">
        <f aca="false">((U18*4)/U66)</f>
        <v>386930.499068559</v>
      </c>
      <c r="V67" s="22" t="n">
        <f aca="false">((V18*4)/V66)</f>
        <v>396471.677496789</v>
      </c>
      <c r="W67" s="22" t="n">
        <f aca="false">((W18*4)/W66)</f>
        <v>418102.424484903</v>
      </c>
      <c r="X67" s="22" t="n">
        <f aca="false">((X18*4)/X66)</f>
        <v>440184.557819726</v>
      </c>
      <c r="Y67" s="22" t="n">
        <f aca="false">((Y18*4)/Y66)</f>
        <v>462666.688477149</v>
      </c>
      <c r="Z67" s="22" t="n">
        <f aca="false">((Z18*4)/Z66)</f>
        <v>473534.822579952</v>
      </c>
      <c r="AA67" s="22" t="n">
        <f aca="false">((AA18*4)/AA66)</f>
        <v>502368.968168715</v>
      </c>
      <c r="AB67" s="22" t="n">
        <f aca="false">((AB18*4)/AB66)</f>
        <v>524678.991511875</v>
      </c>
      <c r="AC67" s="22" t="n">
        <f aca="false">((AC18*4)/AC66)</f>
        <v>553005.805727881</v>
      </c>
      <c r="AD67" s="22" t="n">
        <f aca="false">((AD18*4)/AD66)</f>
        <v>567868.769827143</v>
      </c>
      <c r="AE67" s="22" t="n">
        <f aca="false">((AE18*4)/AE66)</f>
        <v>595510.847432478</v>
      </c>
      <c r="AF67" s="22" t="n">
        <f aca="false">((AF18*4)/AF66)</f>
        <v>616154.719339004</v>
      </c>
      <c r="AG67" s="22" t="n">
        <f aca="false">((AG18*4)/AG66)</f>
        <v>643426.653535918</v>
      </c>
      <c r="AH67" s="22" t="n">
        <f aca="false">((AH18*4)/AH66)</f>
        <v>656372.323160689</v>
      </c>
      <c r="AI67" s="22" t="n">
        <f aca="false">((AI18*4)/AI66)</f>
        <v>683113.626946551</v>
      </c>
      <c r="AJ67" s="22" t="n">
        <f aca="false">((AJ18*4)/AJ66)</f>
        <v>702500.768100498</v>
      </c>
      <c r="AK67" s="22" t="n">
        <f aca="false">((AK18*4)/AK66)</f>
        <v>728976.611997309</v>
      </c>
      <c r="AL67" s="22" t="n">
        <f aca="false">((AL18*4)/AL66)</f>
        <v>740471.028767502</v>
      </c>
      <c r="AM67" s="22" t="n">
        <f aca="false">((AM18*4)/AM66)</f>
        <v>766534.904992533</v>
      </c>
      <c r="AN67" s="22" t="n">
        <f aca="false">((AN18*4)/AN66)</f>
        <v>784971.771044514</v>
      </c>
      <c r="AO67" s="22" t="n">
        <f aca="false">((AO18*4)/AO66)</f>
        <v>810852.299494867</v>
      </c>
    </row>
    <row r="68" customFormat="false" ht="15" hidden="false" customHeight="false" outlineLevel="0" collapsed="false">
      <c r="A68" s="2" t="s">
        <v>470</v>
      </c>
      <c r="B68" s="2" t="s">
        <v>471</v>
      </c>
      <c r="C68" s="2" t="s">
        <v>411</v>
      </c>
      <c r="D68" s="2" t="s">
        <v>49</v>
      </c>
      <c r="E68" s="2" t="s">
        <v>50</v>
      </c>
      <c r="F68" s="17" t="s">
        <v>472</v>
      </c>
      <c r="G68" s="2" t="s">
        <v>473</v>
      </c>
      <c r="H68" s="2"/>
      <c r="I68" s="19" t="n">
        <f aca="false">SUM($J5:$AO5)</f>
        <v>4272</v>
      </c>
    </row>
    <row r="69" customFormat="false" ht="15" hidden="false" customHeight="false" outlineLevel="0" collapsed="false">
      <c r="A69" s="2" t="s">
        <v>474</v>
      </c>
      <c r="B69" s="2" t="s">
        <v>475</v>
      </c>
      <c r="C69" s="2" t="s">
        <v>164</v>
      </c>
      <c r="D69" s="2" t="s">
        <v>74</v>
      </c>
      <c r="E69" s="2" t="s">
        <v>75</v>
      </c>
      <c r="F69" s="17" t="s">
        <v>476</v>
      </c>
      <c r="G69" s="2" t="s">
        <v>477</v>
      </c>
      <c r="H69" s="2"/>
      <c r="I69" s="21" t="n">
        <f aca="false">(POWER((1+discount_rate_annual),0.25)-1)</f>
        <v>0.0422466354563211</v>
      </c>
    </row>
    <row r="70" customFormat="false" ht="15" hidden="false" customHeight="false" outlineLevel="0" collapsed="false">
      <c r="A70" s="2" t="s">
        <v>478</v>
      </c>
      <c r="B70" s="2" t="s">
        <v>479</v>
      </c>
      <c r="C70" s="2" t="s">
        <v>164</v>
      </c>
      <c r="D70" s="2" t="s">
        <v>74</v>
      </c>
      <c r="E70" s="2" t="s">
        <v>75</v>
      </c>
      <c r="F70" s="17" t="s">
        <v>480</v>
      </c>
      <c r="G70" s="2" t="s">
        <v>481</v>
      </c>
      <c r="H70" s="2"/>
      <c r="I70" s="21" t="n">
        <f aca="false">(POWER((1+terminal_growth_annual),0.25)-1)</f>
        <v>0.00741707177773288</v>
      </c>
    </row>
    <row r="71" customFormat="false" ht="15" hidden="false" customHeight="false" outlineLevel="0" collapsed="false">
      <c r="A71" s="2" t="s">
        <v>482</v>
      </c>
      <c r="B71" s="2" t="s">
        <v>483</v>
      </c>
      <c r="C71" s="2" t="s">
        <v>164</v>
      </c>
      <c r="D71" s="2" t="s">
        <v>394</v>
      </c>
      <c r="E71" s="2" t="s">
        <v>395</v>
      </c>
      <c r="F71" s="17" t="s">
        <v>484</v>
      </c>
      <c r="G71" s="2" t="s">
        <v>485</v>
      </c>
      <c r="H71" s="2"/>
      <c r="J71" s="23" t="b">
        <f aca="false">AND(Timeline!J$9&gt;=terminal_period,Timeline!J$9&lt;=terminal_period)</f>
        <v>0</v>
      </c>
      <c r="K71" s="23" t="b">
        <f aca="false">AND(Timeline!K$9&gt;=terminal_period,Timeline!K$9&lt;=terminal_period)</f>
        <v>0</v>
      </c>
      <c r="L71" s="23" t="b">
        <f aca="false">AND(Timeline!L$9&gt;=terminal_period,Timeline!L$9&lt;=terminal_period)</f>
        <v>0</v>
      </c>
      <c r="M71" s="23" t="b">
        <f aca="false">AND(Timeline!M$9&gt;=terminal_period,Timeline!M$9&lt;=terminal_period)</f>
        <v>0</v>
      </c>
      <c r="N71" s="23" t="b">
        <f aca="false">AND(Timeline!N$9&gt;=terminal_period,Timeline!N$9&lt;=terminal_period)</f>
        <v>0</v>
      </c>
      <c r="O71" s="23" t="b">
        <f aca="false">AND(Timeline!O$9&gt;=terminal_period,Timeline!O$9&lt;=terminal_period)</f>
        <v>0</v>
      </c>
      <c r="P71" s="23" t="b">
        <f aca="false">AND(Timeline!P$9&gt;=terminal_period,Timeline!P$9&lt;=terminal_period)</f>
        <v>0</v>
      </c>
      <c r="Q71" s="23" t="b">
        <f aca="false">AND(Timeline!Q$9&gt;=terminal_period,Timeline!Q$9&lt;=terminal_period)</f>
        <v>0</v>
      </c>
      <c r="R71" s="23" t="b">
        <f aca="false">AND(Timeline!R$9&gt;=terminal_period,Timeline!R$9&lt;=terminal_period)</f>
        <v>0</v>
      </c>
      <c r="S71" s="23" t="b">
        <f aca="false">AND(Timeline!S$9&gt;=terminal_period,Timeline!S$9&lt;=terminal_period)</f>
        <v>0</v>
      </c>
      <c r="T71" s="23" t="b">
        <f aca="false">AND(Timeline!T$9&gt;=terminal_period,Timeline!T$9&lt;=terminal_period)</f>
        <v>0</v>
      </c>
      <c r="U71" s="23" t="b">
        <f aca="false">AND(Timeline!U$9&gt;=terminal_period,Timeline!U$9&lt;=terminal_period)</f>
        <v>0</v>
      </c>
      <c r="V71" s="23" t="b">
        <f aca="false">AND(Timeline!V$9&gt;=terminal_period,Timeline!V$9&lt;=terminal_period)</f>
        <v>0</v>
      </c>
      <c r="W71" s="23" t="b">
        <f aca="false">AND(Timeline!W$9&gt;=terminal_period,Timeline!W$9&lt;=terminal_period)</f>
        <v>0</v>
      </c>
      <c r="X71" s="23" t="b">
        <f aca="false">AND(Timeline!X$9&gt;=terminal_period,Timeline!X$9&lt;=terminal_period)</f>
        <v>0</v>
      </c>
      <c r="Y71" s="23" t="b">
        <f aca="false">AND(Timeline!Y$9&gt;=terminal_period,Timeline!Y$9&lt;=terminal_period)</f>
        <v>0</v>
      </c>
      <c r="Z71" s="23" t="b">
        <f aca="false">AND(Timeline!Z$9&gt;=terminal_period,Timeline!Z$9&lt;=terminal_period)</f>
        <v>0</v>
      </c>
      <c r="AA71" s="23" t="b">
        <f aca="false">AND(Timeline!AA$9&gt;=terminal_period,Timeline!AA$9&lt;=terminal_period)</f>
        <v>0</v>
      </c>
      <c r="AB71" s="23" t="b">
        <f aca="false">AND(Timeline!AB$9&gt;=terminal_period,Timeline!AB$9&lt;=terminal_period)</f>
        <v>0</v>
      </c>
      <c r="AC71" s="23" t="b">
        <f aca="false">AND(Timeline!AC$9&gt;=terminal_period,Timeline!AC$9&lt;=terminal_period)</f>
        <v>0</v>
      </c>
      <c r="AD71" s="23" t="b">
        <f aca="false">AND(Timeline!AD$9&gt;=terminal_period,Timeline!AD$9&lt;=terminal_period)</f>
        <v>0</v>
      </c>
      <c r="AE71" s="23" t="b">
        <f aca="false">AND(Timeline!AE$9&gt;=terminal_period,Timeline!AE$9&lt;=terminal_period)</f>
        <v>0</v>
      </c>
      <c r="AF71" s="23" t="b">
        <f aca="false">AND(Timeline!AF$9&gt;=terminal_period,Timeline!AF$9&lt;=terminal_period)</f>
        <v>0</v>
      </c>
      <c r="AG71" s="23" t="b">
        <f aca="false">AND(Timeline!AG$9&gt;=terminal_period,Timeline!AG$9&lt;=terminal_period)</f>
        <v>0</v>
      </c>
      <c r="AH71" s="23" t="b">
        <f aca="false">AND(Timeline!AH$9&gt;=terminal_period,Timeline!AH$9&lt;=terminal_period)</f>
        <v>0</v>
      </c>
      <c r="AI71" s="23" t="b">
        <f aca="false">AND(Timeline!AI$9&gt;=terminal_period,Timeline!AI$9&lt;=terminal_period)</f>
        <v>0</v>
      </c>
      <c r="AJ71" s="23" t="b">
        <f aca="false">AND(Timeline!AJ$9&gt;=terminal_period,Timeline!AJ$9&lt;=terminal_period)</f>
        <v>0</v>
      </c>
      <c r="AK71" s="23" t="b">
        <f aca="false">AND(Timeline!AK$9&gt;=terminal_period,Timeline!AK$9&lt;=terminal_period)</f>
        <v>0</v>
      </c>
      <c r="AL71" s="23" t="b">
        <f aca="false">AND(Timeline!AL$9&gt;=terminal_period,Timeline!AL$9&lt;=terminal_period)</f>
        <v>0</v>
      </c>
      <c r="AM71" s="23" t="b">
        <f aca="false">AND(Timeline!AM$9&gt;=terminal_period,Timeline!AM$9&lt;=terminal_period)</f>
        <v>0</v>
      </c>
      <c r="AN71" s="23" t="b">
        <f aca="false">AND(Timeline!AN$9&gt;=terminal_period,Timeline!AN$9&lt;=terminal_period)</f>
        <v>0</v>
      </c>
      <c r="AO71" s="23" t="b">
        <f aca="false">AND(Timeline!AO$9&gt;=terminal_period,Timeline!AO$9&lt;=terminal_period)</f>
        <v>1</v>
      </c>
    </row>
    <row r="72" customFormat="false" ht="15" hidden="false" customHeight="false" outlineLevel="0" collapsed="false">
      <c r="A72" s="2" t="s">
        <v>486</v>
      </c>
      <c r="B72" s="2" t="s">
        <v>487</v>
      </c>
      <c r="C72" s="2" t="s">
        <v>164</v>
      </c>
      <c r="D72" s="2" t="s">
        <v>54</v>
      </c>
      <c r="E72" s="2" t="s">
        <v>55</v>
      </c>
      <c r="F72" s="17" t="s">
        <v>488</v>
      </c>
      <c r="G72" s="2" t="s">
        <v>489</v>
      </c>
      <c r="H72" s="2"/>
      <c r="J72" s="22" t="n">
        <f aca="false">IF(J71,J48,0)</f>
        <v>0</v>
      </c>
      <c r="K72" s="22" t="n">
        <f aca="false">IF(K71,K48,0)</f>
        <v>0</v>
      </c>
      <c r="L72" s="22" t="n">
        <f aca="false">IF(L71,L48,0)</f>
        <v>0</v>
      </c>
      <c r="M72" s="22" t="n">
        <f aca="false">IF(M71,M48,0)</f>
        <v>0</v>
      </c>
      <c r="N72" s="22" t="n">
        <f aca="false">IF(N71,N48,0)</f>
        <v>0</v>
      </c>
      <c r="O72" s="22" t="n">
        <f aca="false">IF(O71,O48,0)</f>
        <v>0</v>
      </c>
      <c r="P72" s="22" t="n">
        <f aca="false">IF(P71,P48,0)</f>
        <v>0</v>
      </c>
      <c r="Q72" s="22" t="n">
        <f aca="false">IF(Q71,Q48,0)</f>
        <v>0</v>
      </c>
      <c r="R72" s="22" t="n">
        <f aca="false">IF(R71,R48,0)</f>
        <v>0</v>
      </c>
      <c r="S72" s="22" t="n">
        <f aca="false">IF(S71,S48,0)</f>
        <v>0</v>
      </c>
      <c r="T72" s="22" t="n">
        <f aca="false">IF(T71,T48,0)</f>
        <v>0</v>
      </c>
      <c r="U72" s="22" t="n">
        <f aca="false">IF(U71,U48,0)</f>
        <v>0</v>
      </c>
      <c r="V72" s="22" t="n">
        <f aca="false">IF(V71,V48,0)</f>
        <v>0</v>
      </c>
      <c r="W72" s="22" t="n">
        <f aca="false">IF(W71,W48,0)</f>
        <v>0</v>
      </c>
      <c r="X72" s="22" t="n">
        <f aca="false">IF(X71,X48,0)</f>
        <v>0</v>
      </c>
      <c r="Y72" s="22" t="n">
        <f aca="false">IF(Y71,Y48,0)</f>
        <v>0</v>
      </c>
      <c r="Z72" s="22" t="n">
        <f aca="false">IF(Z71,Z48,0)</f>
        <v>0</v>
      </c>
      <c r="AA72" s="22" t="n">
        <f aca="false">IF(AA71,AA48,0)</f>
        <v>0</v>
      </c>
      <c r="AB72" s="22" t="n">
        <f aca="false">IF(AB71,AB48,0)</f>
        <v>0</v>
      </c>
      <c r="AC72" s="22" t="n">
        <f aca="false">IF(AC71,AC48,0)</f>
        <v>0</v>
      </c>
      <c r="AD72" s="22" t="n">
        <f aca="false">IF(AD71,AD48,0)</f>
        <v>0</v>
      </c>
      <c r="AE72" s="22" t="n">
        <f aca="false">IF(AE71,AE48,0)</f>
        <v>0</v>
      </c>
      <c r="AF72" s="22" t="n">
        <f aca="false">IF(AF71,AF48,0)</f>
        <v>0</v>
      </c>
      <c r="AG72" s="22" t="n">
        <f aca="false">IF(AG71,AG48,0)</f>
        <v>0</v>
      </c>
      <c r="AH72" s="22" t="n">
        <f aca="false">IF(AH71,AH48,0)</f>
        <v>0</v>
      </c>
      <c r="AI72" s="22" t="n">
        <f aca="false">IF(AI71,AI48,0)</f>
        <v>0</v>
      </c>
      <c r="AJ72" s="22" t="n">
        <f aca="false">IF(AJ71,AJ48,0)</f>
        <v>0</v>
      </c>
      <c r="AK72" s="22" t="n">
        <f aca="false">IF(AK71,AK48,0)</f>
        <v>0</v>
      </c>
      <c r="AL72" s="22" t="n">
        <f aca="false">IF(AL71,AL48,0)</f>
        <v>0</v>
      </c>
      <c r="AM72" s="22" t="n">
        <f aca="false">IF(AM71,AM48,0)</f>
        <v>0</v>
      </c>
      <c r="AN72" s="22" t="n">
        <f aca="false">IF(AN71,AN48,0)</f>
        <v>0</v>
      </c>
      <c r="AO72" s="22" t="n">
        <f aca="false">IF(AO71,AO48,0)</f>
        <v>6155557.27501072</v>
      </c>
    </row>
    <row r="73" customFormat="false" ht="15" hidden="false" customHeight="false" outlineLevel="0" collapsed="false">
      <c r="A73" s="2" t="s">
        <v>490</v>
      </c>
      <c r="B73" s="2" t="s">
        <v>491</v>
      </c>
      <c r="C73" s="2" t="s">
        <v>164</v>
      </c>
      <c r="D73" s="2" t="s">
        <v>60</v>
      </c>
      <c r="E73" s="2" t="s">
        <v>55</v>
      </c>
      <c r="F73" s="17" t="s">
        <v>492</v>
      </c>
      <c r="G73" s="2" t="s">
        <v>493</v>
      </c>
      <c r="H73" s="2"/>
      <c r="I73" s="22" t="n">
        <f aca="false">SUM($J72:$AO72)</f>
        <v>6155557.27501072</v>
      </c>
    </row>
    <row r="74" customFormat="false" ht="15" hidden="false" customHeight="false" outlineLevel="0" collapsed="false">
      <c r="A74" s="2" t="s">
        <v>494</v>
      </c>
      <c r="B74" s="2" t="s">
        <v>495</v>
      </c>
      <c r="C74" s="2" t="s">
        <v>164</v>
      </c>
      <c r="D74" s="2" t="s">
        <v>60</v>
      </c>
      <c r="E74" s="2" t="s">
        <v>55</v>
      </c>
      <c r="F74" s="17" t="s">
        <v>496</v>
      </c>
      <c r="G74" s="2" t="s">
        <v>497</v>
      </c>
      <c r="H74" s="2" t="s">
        <v>498</v>
      </c>
      <c r="I74" s="22" t="n">
        <f aca="false">((terminal_fcf*(1+terminal_growth_q))/(discount_rate_q-terminal_growth_q))</f>
        <v>178044535.452038</v>
      </c>
    </row>
    <row r="75" customFormat="false" ht="15" hidden="false" customHeight="false" outlineLevel="0" collapsed="false">
      <c r="A75" s="2" t="s">
        <v>499</v>
      </c>
      <c r="B75" s="2" t="s">
        <v>500</v>
      </c>
      <c r="C75" s="2" t="s">
        <v>164</v>
      </c>
      <c r="D75" s="2" t="s">
        <v>54</v>
      </c>
      <c r="E75" s="2" t="s">
        <v>55</v>
      </c>
      <c r="F75" s="17" t="s">
        <v>501</v>
      </c>
      <c r="G75" s="2" t="s">
        <v>502</v>
      </c>
      <c r="H75" s="2"/>
      <c r="J75" s="22" t="n">
        <f aca="false">IF(J71,terminal_value,0)</f>
        <v>0</v>
      </c>
      <c r="K75" s="22" t="n">
        <f aca="false">IF(K71,terminal_value,0)</f>
        <v>0</v>
      </c>
      <c r="L75" s="22" t="n">
        <f aca="false">IF(L71,terminal_value,0)</f>
        <v>0</v>
      </c>
      <c r="M75" s="22" t="n">
        <f aca="false">IF(M71,terminal_value,0)</f>
        <v>0</v>
      </c>
      <c r="N75" s="22" t="n">
        <f aca="false">IF(N71,terminal_value,0)</f>
        <v>0</v>
      </c>
      <c r="O75" s="22" t="n">
        <f aca="false">IF(O71,terminal_value,0)</f>
        <v>0</v>
      </c>
      <c r="P75" s="22" t="n">
        <f aca="false">IF(P71,terminal_value,0)</f>
        <v>0</v>
      </c>
      <c r="Q75" s="22" t="n">
        <f aca="false">IF(Q71,terminal_value,0)</f>
        <v>0</v>
      </c>
      <c r="R75" s="22" t="n">
        <f aca="false">IF(R71,terminal_value,0)</f>
        <v>0</v>
      </c>
      <c r="S75" s="22" t="n">
        <f aca="false">IF(S71,terminal_value,0)</f>
        <v>0</v>
      </c>
      <c r="T75" s="22" t="n">
        <f aca="false">IF(T71,terminal_value,0)</f>
        <v>0</v>
      </c>
      <c r="U75" s="22" t="n">
        <f aca="false">IF(U71,terminal_value,0)</f>
        <v>0</v>
      </c>
      <c r="V75" s="22" t="n">
        <f aca="false">IF(V71,terminal_value,0)</f>
        <v>0</v>
      </c>
      <c r="W75" s="22" t="n">
        <f aca="false">IF(W71,terminal_value,0)</f>
        <v>0</v>
      </c>
      <c r="X75" s="22" t="n">
        <f aca="false">IF(X71,terminal_value,0)</f>
        <v>0</v>
      </c>
      <c r="Y75" s="22" t="n">
        <f aca="false">IF(Y71,terminal_value,0)</f>
        <v>0</v>
      </c>
      <c r="Z75" s="22" t="n">
        <f aca="false">IF(Z71,terminal_value,0)</f>
        <v>0</v>
      </c>
      <c r="AA75" s="22" t="n">
        <f aca="false">IF(AA71,terminal_value,0)</f>
        <v>0</v>
      </c>
      <c r="AB75" s="22" t="n">
        <f aca="false">IF(AB71,terminal_value,0)</f>
        <v>0</v>
      </c>
      <c r="AC75" s="22" t="n">
        <f aca="false">IF(AC71,terminal_value,0)</f>
        <v>0</v>
      </c>
      <c r="AD75" s="22" t="n">
        <f aca="false">IF(AD71,terminal_value,0)</f>
        <v>0</v>
      </c>
      <c r="AE75" s="22" t="n">
        <f aca="false">IF(AE71,terminal_value,0)</f>
        <v>0</v>
      </c>
      <c r="AF75" s="22" t="n">
        <f aca="false">IF(AF71,terminal_value,0)</f>
        <v>0</v>
      </c>
      <c r="AG75" s="22" t="n">
        <f aca="false">IF(AG71,terminal_value,0)</f>
        <v>0</v>
      </c>
      <c r="AH75" s="22" t="n">
        <f aca="false">IF(AH71,terminal_value,0)</f>
        <v>0</v>
      </c>
      <c r="AI75" s="22" t="n">
        <f aca="false">IF(AI71,terminal_value,0)</f>
        <v>0</v>
      </c>
      <c r="AJ75" s="22" t="n">
        <f aca="false">IF(AJ71,terminal_value,0)</f>
        <v>0</v>
      </c>
      <c r="AK75" s="22" t="n">
        <f aca="false">IF(AK71,terminal_value,0)</f>
        <v>0</v>
      </c>
      <c r="AL75" s="22" t="n">
        <f aca="false">IF(AL71,terminal_value,0)</f>
        <v>0</v>
      </c>
      <c r="AM75" s="22" t="n">
        <f aca="false">IF(AM71,terminal_value,0)</f>
        <v>0</v>
      </c>
      <c r="AN75" s="22" t="n">
        <f aca="false">IF(AN71,terminal_value,0)</f>
        <v>0</v>
      </c>
      <c r="AO75" s="22" t="n">
        <f aca="false">IF(AO71,terminal_value,0)</f>
        <v>178044535.452038</v>
      </c>
    </row>
    <row r="76" customFormat="false" ht="15" hidden="false" customHeight="false" outlineLevel="0" collapsed="false">
      <c r="A76" s="2" t="s">
        <v>503</v>
      </c>
      <c r="B76" s="2" t="s">
        <v>504</v>
      </c>
      <c r="C76" s="2" t="s">
        <v>164</v>
      </c>
      <c r="D76" s="2" t="s">
        <v>54</v>
      </c>
      <c r="E76" s="2" t="s">
        <v>55</v>
      </c>
      <c r="F76" s="17" t="s">
        <v>505</v>
      </c>
      <c r="G76" s="2" t="s">
        <v>506</v>
      </c>
      <c r="H76" s="2"/>
      <c r="J76" s="22" t="n">
        <f aca="false">(J48+J75)</f>
        <v>-570877.808219178</v>
      </c>
      <c r="K76" s="22" t="n">
        <f aca="false">(K48+K75)</f>
        <v>-1142947.77109346</v>
      </c>
      <c r="L76" s="22" t="n">
        <f aca="false">(L48+L75)</f>
        <v>-1170788.65051969</v>
      </c>
      <c r="M76" s="22" t="n">
        <f aca="false">(M48+M75)</f>
        <v>-1224810.78955991</v>
      </c>
      <c r="N76" s="22" t="n">
        <f aca="false">(N48+N75)</f>
        <v>-1177363.15882507</v>
      </c>
      <c r="O76" s="22" t="n">
        <f aca="false">(O48+O75)</f>
        <v>-1172450.98158807</v>
      </c>
      <c r="P76" s="22" t="n">
        <f aca="false">(P48+P75)</f>
        <v>-1139942.3726017</v>
      </c>
      <c r="Q76" s="22" t="n">
        <f aca="false">(Q48+Q75)</f>
        <v>-1077059.5454741</v>
      </c>
      <c r="R76" s="22" t="n">
        <f aca="false">(R48+R75)</f>
        <v>-3217837.08079761</v>
      </c>
      <c r="S76" s="22" t="n">
        <f aca="false">(S48+S75)</f>
        <v>-3102081.51948447</v>
      </c>
      <c r="T76" s="22" t="n">
        <f aca="false">(T48+T75)</f>
        <v>-2956891.3003492</v>
      </c>
      <c r="U76" s="22" t="n">
        <f aca="false">(U48+U75)</f>
        <v>-2786336.66321134</v>
      </c>
      <c r="V76" s="22" t="n">
        <f aca="false">(V48+V75)</f>
        <v>-515166.664364318</v>
      </c>
      <c r="W76" s="22" t="n">
        <f aca="false">(W48+W75)</f>
        <v>-235358.493786415</v>
      </c>
      <c r="X76" s="22" t="n">
        <f aca="false">(X48+X75)</f>
        <v>68976.0132400706</v>
      </c>
      <c r="Y76" s="22" t="n">
        <f aca="false">(Y48+Y75)</f>
        <v>398141.595408196</v>
      </c>
      <c r="Z76" s="22" t="n">
        <f aca="false">(Z48+Z75)</f>
        <v>675280.20503314</v>
      </c>
      <c r="AA76" s="22" t="n">
        <f aca="false">(AA48+AA75)</f>
        <v>1134474.86838581</v>
      </c>
      <c r="AB76" s="22" t="n">
        <f aca="false">(AB48+AB75)</f>
        <v>1557036.43769217</v>
      </c>
      <c r="AC76" s="22" t="n">
        <f aca="false">(AC48+AC75)</f>
        <v>2034649.63153029</v>
      </c>
      <c r="AD76" s="22" t="n">
        <f aca="false">(AD48+AD75)</f>
        <v>2437373.32141119</v>
      </c>
      <c r="AE76" s="22" t="n">
        <f aca="false">(AE48+AE75)</f>
        <v>2935268.0848074</v>
      </c>
      <c r="AF76" s="22" t="n">
        <f aca="false">(AF48+AF75)</f>
        <v>3398396.17339098</v>
      </c>
      <c r="AG76" s="22" t="n">
        <f aca="false">(AG48+AG75)</f>
        <v>3916821.48214906</v>
      </c>
      <c r="AH76" s="22" t="n">
        <f aca="false">(AH48+AH75)</f>
        <v>4008695.79921678</v>
      </c>
      <c r="AI76" s="22" t="n">
        <f aca="false">(AI48+AI75)</f>
        <v>3691680.53794248</v>
      </c>
      <c r="AJ76" s="22" t="n">
        <f aca="false">(AJ48+AJ75)</f>
        <v>4070436.66244115</v>
      </c>
      <c r="AK76" s="22" t="n">
        <f aca="false">(AK48+AK75)</f>
        <v>4490881.61183124</v>
      </c>
      <c r="AL76" s="22" t="n">
        <f aca="false">(AL48+AL75)</f>
        <v>4855562.63248348</v>
      </c>
      <c r="AM76" s="22" t="n">
        <f aca="false">(AM48+AM75)</f>
        <v>5292031.38891701</v>
      </c>
      <c r="AN76" s="22" t="n">
        <f aca="false">(AN48+AN75)</f>
        <v>5702843.90558881</v>
      </c>
      <c r="AO76" s="22" t="n">
        <f aca="false">(AO48+AO75)</f>
        <v>184200092.727049</v>
      </c>
    </row>
    <row r="77" customFormat="false" ht="15" hidden="false" customHeight="false" outlineLevel="0" collapsed="false">
      <c r="A77" s="2" t="s">
        <v>507</v>
      </c>
      <c r="B77" s="2" t="s">
        <v>508</v>
      </c>
      <c r="C77" s="2" t="s">
        <v>164</v>
      </c>
      <c r="D77" s="2" t="s">
        <v>60</v>
      </c>
      <c r="E77" s="2" t="s">
        <v>55</v>
      </c>
      <c r="F77" s="17" t="s">
        <v>509</v>
      </c>
      <c r="G77" s="2" t="s">
        <v>510</v>
      </c>
      <c r="H77" s="2" t="s">
        <v>511</v>
      </c>
      <c r="I77" s="22" t="n">
        <f aca="false">NPV(discount_rate_q,$J76:$AO76)</f>
        <v>51239654.5530028</v>
      </c>
    </row>
    <row r="78" customFormat="false" ht="15" hidden="false" customHeight="false" outlineLevel="0" collapsed="false">
      <c r="A78" s="2" t="s">
        <v>512</v>
      </c>
      <c r="B78" s="2" t="s">
        <v>513</v>
      </c>
      <c r="C78" s="2" t="s">
        <v>164</v>
      </c>
      <c r="D78" s="2" t="s">
        <v>196</v>
      </c>
      <c r="E78" s="2" t="s">
        <v>514</v>
      </c>
      <c r="F78" s="17" t="s">
        <v>515</v>
      </c>
      <c r="G78" s="2" t="s">
        <v>516</v>
      </c>
      <c r="H78" s="2" t="s">
        <v>517</v>
      </c>
      <c r="J78" s="20" t="n">
        <f aca="false">1/(1+discount_rate_q)^Timeline!J$9</f>
        <v>0.959465798191016</v>
      </c>
      <c r="K78" s="20" t="n">
        <f aca="false">1/(1+discount_rate_q)^Timeline!K$9</f>
        <v>0.920574617898324</v>
      </c>
      <c r="L78" s="20" t="n">
        <f aca="false">1/(1+discount_rate_q)^Timeline!L$9</f>
        <v>0.883259860556204</v>
      </c>
      <c r="M78" s="20" t="n">
        <f aca="false">1/(1+discount_rate_q)^Timeline!M$9</f>
        <v>0.847457627118644</v>
      </c>
      <c r="N78" s="20" t="n">
        <f aca="false">1/(1+discount_rate_q)^Timeline!N$9</f>
        <v>0.813106608636454</v>
      </c>
      <c r="O78" s="20" t="n">
        <f aca="false">1/(1+discount_rate_q)^Timeline!O$9</f>
        <v>0.780147981269766</v>
      </c>
      <c r="P78" s="20" t="n">
        <f aca="false">1/(1+discount_rate_q)^Timeline!P$9</f>
        <v>0.748525305556106</v>
      </c>
      <c r="Q78" s="20" t="n">
        <f aca="false">1/(1+discount_rate_q)^Timeline!Q$9</f>
        <v>0.718184429761563</v>
      </c>
      <c r="R78" s="20" t="n">
        <f aca="false">1/(1+discount_rate_q)^Timeline!R$9</f>
        <v>0.689073397149538</v>
      </c>
      <c r="S78" s="20" t="n">
        <f aca="false">1/(1+discount_rate_q)^Timeline!S$9</f>
        <v>0.661142357008276</v>
      </c>
      <c r="T78" s="20" t="n">
        <f aca="false">1/(1+discount_rate_q)^Timeline!T$9</f>
        <v>0.634343479284835</v>
      </c>
      <c r="U78" s="20" t="n">
        <f aca="false">1/(1+discount_rate_q)^Timeline!U$9</f>
        <v>0.608630872679291</v>
      </c>
      <c r="V78" s="20" t="n">
        <f aca="false">1/(1+discount_rate_q)^Timeline!V$9</f>
        <v>0.58396050605893</v>
      </c>
      <c r="W78" s="20" t="n">
        <f aca="false">1/(1+discount_rate_q)^Timeline!W$9</f>
        <v>0.560290133057861</v>
      </c>
      <c r="X78" s="20" t="n">
        <f aca="false">1/(1+discount_rate_q)^Timeline!X$9</f>
        <v>0.537579219732911</v>
      </c>
      <c r="Y78" s="20" t="n">
        <f aca="false">1/(1+discount_rate_q)^Timeline!Y$9</f>
        <v>0.515788875151941</v>
      </c>
      <c r="Z78" s="20" t="n">
        <f aca="false">1/(1+discount_rate_q)^Timeline!Z$9</f>
        <v>0.494881784795704</v>
      </c>
      <c r="AA78" s="20" t="n">
        <f aca="false">1/(1+discount_rate_q)^Timeline!AA$9</f>
        <v>0.474822146659204</v>
      </c>
      <c r="AB78" s="20" t="n">
        <f aca="false">1/(1+discount_rate_q)^Timeline!AB$9</f>
        <v>0.455575609943145</v>
      </c>
      <c r="AC78" s="20" t="n">
        <f aca="false">1/(1+discount_rate_q)^Timeline!AC$9</f>
        <v>0.437109216230459</v>
      </c>
      <c r="AD78" s="20" t="n">
        <f aca="false">1/(1+discount_rate_q)^Timeline!AD$9</f>
        <v>0.419391343047206</v>
      </c>
      <c r="AE78" s="20" t="n">
        <f aca="false">1/(1+discount_rate_q)^Timeline!AE$9</f>
        <v>0.40239164971119</v>
      </c>
      <c r="AF78" s="20" t="n">
        <f aca="false">1/(1+discount_rate_q)^Timeline!AF$9</f>
        <v>0.386081025375547</v>
      </c>
      <c r="AG78" s="20" t="n">
        <f aca="false">1/(1+discount_rate_q)^Timeline!AG$9</f>
        <v>0.370431539178355</v>
      </c>
      <c r="AH78" s="20" t="n">
        <f aca="false">1/(1+discount_rate_q)^Timeline!AH$9</f>
        <v>0.355416392412887</v>
      </c>
      <c r="AI78" s="20" t="n">
        <f aca="false">1/(1+discount_rate_q)^Timeline!AI$9</f>
        <v>0.341009872636602</v>
      </c>
      <c r="AJ78" s="20" t="n">
        <f aca="false">1/(1+discount_rate_q)^Timeline!AJ$9</f>
        <v>0.327187309640294</v>
      </c>
      <c r="AK78" s="20" t="n">
        <f aca="false">1/(1+discount_rate_q)^Timeline!AK$9</f>
        <v>0.313925033201996</v>
      </c>
      <c r="AL78" s="20" t="n">
        <f aca="false">1/(1+discount_rate_q)^Timeline!AL$9</f>
        <v>0.301200332553294</v>
      </c>
      <c r="AM78" s="20" t="n">
        <f aca="false">1/(1+discount_rate_q)^Timeline!AM$9</f>
        <v>0.288991417488646</v>
      </c>
      <c r="AN78" s="20" t="n">
        <f aca="false">1/(1+discount_rate_q)^Timeline!AN$9</f>
        <v>0.277277381051097</v>
      </c>
      <c r="AO78" s="20" t="n">
        <f aca="false">1/(1+discount_rate_q)^Timeline!AO$9</f>
        <v>0.266038163730505</v>
      </c>
    </row>
    <row r="79" customFormat="false" ht="15" hidden="false" customHeight="false" outlineLevel="0" collapsed="false">
      <c r="A79" s="2" t="s">
        <v>518</v>
      </c>
      <c r="B79" s="2" t="s">
        <v>519</v>
      </c>
      <c r="C79" s="2" t="s">
        <v>164</v>
      </c>
      <c r="D79" s="2" t="s">
        <v>54</v>
      </c>
      <c r="E79" s="2" t="s">
        <v>55</v>
      </c>
      <c r="F79" s="17" t="s">
        <v>520</v>
      </c>
      <c r="G79" s="2" t="s">
        <v>521</v>
      </c>
      <c r="H79" s="2"/>
      <c r="J79" s="22" t="n">
        <f aca="false">(J76*J78)</f>
        <v>-547737.731932552</v>
      </c>
      <c r="K79" s="22" t="n">
        <f aca="false">(K76*K78)</f>
        <v>-1052168.70765211</v>
      </c>
      <c r="L79" s="22" t="n">
        <f aca="false">(L76*L78)</f>
        <v>-1034110.62019881</v>
      </c>
      <c r="M79" s="22" t="n">
        <f aca="false">(M76*M78)</f>
        <v>-1037975.24538976</v>
      </c>
      <c r="N79" s="22" t="n">
        <f aca="false">(N76*N78)</f>
        <v>-957321.765205757</v>
      </c>
      <c r="O79" s="22" t="n">
        <f aca="false">(O76*O78)</f>
        <v>-914685.266423685</v>
      </c>
      <c r="P79" s="22" t="n">
        <f aca="false">(P76*P78)</f>
        <v>-853275.712768042</v>
      </c>
      <c r="Q79" s="22" t="n">
        <f aca="false">(Q76*Q78)</f>
        <v>-773527.395485563</v>
      </c>
      <c r="R79" s="22" t="n">
        <f aca="false">(R76*R78)</f>
        <v>-2217325.92873896</v>
      </c>
      <c r="S79" s="22" t="n">
        <f aca="false">(S76*S78)</f>
        <v>-2050917.48742378</v>
      </c>
      <c r="T79" s="22" t="n">
        <f aca="false">(T76*T78)</f>
        <v>-1875684.71533057</v>
      </c>
      <c r="U79" s="22" t="n">
        <f aca="false">(U76*U78)</f>
        <v>-1695850.51490862</v>
      </c>
      <c r="V79" s="22" t="n">
        <f aca="false">(V76*V78)</f>
        <v>-300836.986026878</v>
      </c>
      <c r="W79" s="22" t="n">
        <f aca="false">(W76*W78)</f>
        <v>-131869.041799888</v>
      </c>
      <c r="X79" s="22" t="n">
        <f aca="false">(X76*X78)</f>
        <v>37080.0713778841</v>
      </c>
      <c r="Y79" s="22" t="n">
        <f aca="false">(Y76*Y78)</f>
        <v>205357.005646793</v>
      </c>
      <c r="Z79" s="22" t="n">
        <f aca="false">(Z76*Z78)</f>
        <v>334183.873104009</v>
      </c>
      <c r="AA79" s="22" t="n">
        <f aca="false">(AA76*AA78)</f>
        <v>538673.79233787</v>
      </c>
      <c r="AB79" s="22" t="n">
        <f aca="false">(AB76*AB78)</f>
        <v>709347.824805312</v>
      </c>
      <c r="AC79" s="22" t="n">
        <f aca="false">(AC76*AC78)</f>
        <v>889364.105741797</v>
      </c>
      <c r="AD79" s="22" t="n">
        <f aca="false">(AD76*AD78)</f>
        <v>1022213.27077407</v>
      </c>
      <c r="AE79" s="22" t="n">
        <f aca="false">(AE76*AE78)</f>
        <v>1181127.36699025</v>
      </c>
      <c r="AF79" s="22" t="n">
        <f aca="false">(AF76*AF78)</f>
        <v>1312056.27925512</v>
      </c>
      <c r="AG79" s="22" t="n">
        <f aca="false">(AG76*AG78)</f>
        <v>1450914.21031932</v>
      </c>
      <c r="AH79" s="22" t="n">
        <f aca="false">(AH76*AH78)</f>
        <v>1424756.19923832</v>
      </c>
      <c r="AI79" s="22" t="n">
        <f aca="false">(AI76*AI78)</f>
        <v>1258899.51005879</v>
      </c>
      <c r="AJ79" s="22" t="n">
        <f aca="false">(AJ76*AJ78)</f>
        <v>1331795.22064534</v>
      </c>
      <c r="AK79" s="22" t="n">
        <f aca="false">(AK76*AK78)</f>
        <v>1409800.15910036</v>
      </c>
      <c r="AL79" s="22" t="n">
        <f aca="false">(AL76*AL78)</f>
        <v>1462497.07963737</v>
      </c>
      <c r="AM79" s="22" t="n">
        <f aca="false">(AM76*AM78)</f>
        <v>1529351.65247753</v>
      </c>
      <c r="AN79" s="22" t="n">
        <f aca="false">(AN76*AN78)</f>
        <v>1581269.62268487</v>
      </c>
      <c r="AO79" s="22" t="n">
        <f aca="false">(AO76*AO78)</f>
        <v>49004254.4280928</v>
      </c>
    </row>
    <row r="80" customFormat="false" ht="15" hidden="false" customHeight="false" outlineLevel="0" collapsed="false">
      <c r="A80" s="2" t="s">
        <v>522</v>
      </c>
      <c r="B80" s="2" t="s">
        <v>523</v>
      </c>
      <c r="C80" s="2" t="s">
        <v>164</v>
      </c>
      <c r="D80" s="2" t="s">
        <v>60</v>
      </c>
      <c r="E80" s="2" t="s">
        <v>55</v>
      </c>
      <c r="F80" s="17" t="s">
        <v>524</v>
      </c>
      <c r="G80" s="2" t="s">
        <v>525</v>
      </c>
      <c r="H80" s="2" t="s">
        <v>526</v>
      </c>
      <c r="I80" s="22" t="n">
        <f aca="false">SUM($J79:$AO79)</f>
        <v>51239654.5530028</v>
      </c>
    </row>
    <row r="81" customFormat="false" ht="15" hidden="false" customHeight="false" outlineLevel="0" collapsed="false">
      <c r="A81" s="2" t="s">
        <v>527</v>
      </c>
      <c r="B81" s="2" t="s">
        <v>528</v>
      </c>
      <c r="C81" s="2" t="s">
        <v>164</v>
      </c>
      <c r="D81" s="2" t="s">
        <v>74</v>
      </c>
      <c r="E81" s="2" t="s">
        <v>75</v>
      </c>
      <c r="F81" s="17" t="s">
        <v>529</v>
      </c>
      <c r="G81" s="2" t="s">
        <v>530</v>
      </c>
      <c r="H81" s="2"/>
      <c r="I81" s="21" t="n">
        <f aca="false">IRR($J76:$AO76,irr_guess_q)</f>
        <v>0.11284887796792</v>
      </c>
    </row>
    <row r="82" customFormat="false" ht="15" hidden="false" customHeight="false" outlineLevel="0" collapsed="false">
      <c r="A82" s="2" t="s">
        <v>531</v>
      </c>
      <c r="B82" s="2" t="s">
        <v>532</v>
      </c>
      <c r="C82" s="2" t="s">
        <v>164</v>
      </c>
      <c r="D82" s="2" t="s">
        <v>74</v>
      </c>
      <c r="E82" s="2" t="s">
        <v>75</v>
      </c>
      <c r="F82" s="17" t="s">
        <v>533</v>
      </c>
      <c r="G82" s="2" t="s">
        <v>534</v>
      </c>
      <c r="H82" s="2"/>
      <c r="I82" s="21" t="n">
        <f aca="false">(POWER((1+irr_quarterly),4)-1)</f>
        <v>0.533715367146039</v>
      </c>
    </row>
  </sheetData>
  <autoFilter ref="A1:H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2"/>
    <col collapsed="false" customWidth="true" hidden="false" outlineLevel="0" max="16" min="9" style="0" width="15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41</v>
      </c>
      <c r="D1" s="3" t="s">
        <v>42</v>
      </c>
      <c r="E1" s="3" t="s">
        <v>177</v>
      </c>
      <c r="F1" s="3" t="s">
        <v>178</v>
      </c>
      <c r="G1" s="3" t="s">
        <v>21</v>
      </c>
      <c r="H1" s="3"/>
      <c r="I1" s="24" t="n">
        <f aca="false">MIN(Timeline!$J$12:$AO$12)</f>
        <v>2027</v>
      </c>
      <c r="J1" s="24" t="n">
        <f aca="false">I1+1</f>
        <v>2028</v>
      </c>
      <c r="K1" s="24" t="n">
        <f aca="false">J1+1</f>
        <v>2029</v>
      </c>
      <c r="L1" s="24" t="n">
        <f aca="false">K1+1</f>
        <v>2030</v>
      </c>
      <c r="M1" s="24" t="n">
        <f aca="false">L1+1</f>
        <v>2031</v>
      </c>
      <c r="N1" s="24" t="n">
        <f aca="false">M1+1</f>
        <v>2032</v>
      </c>
      <c r="O1" s="24" t="n">
        <f aca="false">N1+1</f>
        <v>2033</v>
      </c>
      <c r="P1" s="24" t="n">
        <f aca="false">O1+1</f>
        <v>2034</v>
      </c>
    </row>
    <row r="2" customFormat="false" ht="15" hidden="false" customHeight="false" outlineLevel="0" collapsed="false">
      <c r="A2" s="10" t="s">
        <v>535</v>
      </c>
    </row>
    <row r="3" customFormat="false" ht="15" hidden="false" customHeight="false" outlineLevel="0" collapsed="false">
      <c r="A3" s="2" t="s">
        <v>536</v>
      </c>
      <c r="B3" s="2" t="s">
        <v>242</v>
      </c>
      <c r="C3" s="2" t="s">
        <v>537</v>
      </c>
      <c r="D3" s="2" t="s">
        <v>55</v>
      </c>
      <c r="E3" s="17" t="s">
        <v>538</v>
      </c>
      <c r="F3" s="2" t="s">
        <v>539</v>
      </c>
      <c r="G3" s="2" t="s">
        <v>540</v>
      </c>
      <c r="I3" s="22" t="n">
        <f aca="false">SUMIF(Timeline!$J$12:$AO$12,I$1,Calculations!$J18:$AO18)</f>
        <v>11119609.4763604</v>
      </c>
      <c r="J3" s="22" t="n">
        <f aca="false">SUMIF(Timeline!$J$12:$AO$12,J$1,Calculations!$J18:$AO18)</f>
        <v>15729005.8888968</v>
      </c>
      <c r="K3" s="22" t="n">
        <f aca="false">SUMIF(Timeline!$J$12:$AO$12,K$1,Calculations!$J18:$AO18)</f>
        <v>22526372.499955</v>
      </c>
      <c r="L3" s="22" t="n">
        <f aca="false">SUMIF(Timeline!$J$12:$AO$12,L$1,Calculations!$J18:$AO18)</f>
        <v>31398179.3976528</v>
      </c>
      <c r="M3" s="22" t="n">
        <f aca="false">SUMIF(Timeline!$J$12:$AO$12,M$1,Calculations!$J18:$AO18)</f>
        <v>42143879.0511725</v>
      </c>
      <c r="N3" s="22" t="n">
        <f aca="false">SUMIF(Timeline!$J$12:$AO$12,N$1,Calculations!$J18:$AO18)</f>
        <v>53953821.9403246</v>
      </c>
      <c r="O3" s="22" t="n">
        <f aca="false">SUMIF(Timeline!$J$12:$AO$12,O$1,Calculations!$J18:$AO18)</f>
        <v>66544268.8546279</v>
      </c>
      <c r="P3" s="22" t="n">
        <f aca="false">SUMIF(Timeline!$J$12:$AO$12,P$1,Calculations!$J18:$AO18)</f>
        <v>79937672.4625866</v>
      </c>
    </row>
    <row r="4" customFormat="false" ht="15" hidden="false" customHeight="false" outlineLevel="0" collapsed="false">
      <c r="A4" s="2" t="s">
        <v>541</v>
      </c>
      <c r="B4" s="2" t="s">
        <v>306</v>
      </c>
      <c r="C4" s="2" t="s">
        <v>537</v>
      </c>
      <c r="D4" s="2" t="s">
        <v>55</v>
      </c>
      <c r="E4" s="17" t="s">
        <v>542</v>
      </c>
      <c r="F4" s="2" t="s">
        <v>543</v>
      </c>
      <c r="G4" s="2" t="s">
        <v>540</v>
      </c>
      <c r="I4" s="22" t="n">
        <f aca="false">SUMIF(Timeline!$J$12:$AO$12,I$1,Calculations!$J32:$AO32)</f>
        <v>-3046330.31757021</v>
      </c>
      <c r="J4" s="22" t="n">
        <f aca="false">SUMIF(Timeline!$J$12:$AO$12,J$1,Calculations!$J32:$AO32)</f>
        <v>-3564445.53782592</v>
      </c>
      <c r="K4" s="22" t="n">
        <f aca="false">SUMIF(Timeline!$J$12:$AO$12,K$1,Calculations!$J32:$AO32)</f>
        <v>-8442842.22189823</v>
      </c>
      <c r="L4" s="22" t="n">
        <f aca="false">SUMIF(Timeline!$J$12:$AO$12,L$1,Calculations!$J32:$AO32)</f>
        <v>990715.707939305</v>
      </c>
      <c r="M4" s="22" t="n">
        <f aca="false">SUMIF(Timeline!$J$12:$AO$12,M$1,Calculations!$J32:$AO32)</f>
        <v>6772317.10730901</v>
      </c>
      <c r="N4" s="22" t="n">
        <f aca="false">SUMIF(Timeline!$J$12:$AO$12,N$1,Calculations!$J32:$AO32)</f>
        <v>14204730.5846695</v>
      </c>
      <c r="O4" s="22" t="n">
        <f aca="false">SUMIF(Timeline!$J$12:$AO$12,O$1,Calculations!$J32:$AO32)</f>
        <v>22305074.0866658</v>
      </c>
      <c r="P4" s="22" t="n">
        <f aca="false">SUMIF(Timeline!$J$12:$AO$12,P$1,Calculations!$J32:$AO32)</f>
        <v>31090713.4348109</v>
      </c>
    </row>
    <row r="5" customFormat="false" ht="15" hidden="false" customHeight="false" outlineLevel="0" collapsed="false">
      <c r="A5" s="2" t="s">
        <v>544</v>
      </c>
      <c r="B5" s="2" t="s">
        <v>545</v>
      </c>
      <c r="C5" s="2" t="s">
        <v>537</v>
      </c>
      <c r="D5" s="2" t="s">
        <v>55</v>
      </c>
      <c r="E5" s="17" t="s">
        <v>546</v>
      </c>
      <c r="F5" s="2" t="s">
        <v>547</v>
      </c>
      <c r="G5" s="2" t="s">
        <v>540</v>
      </c>
      <c r="I5" s="22" t="n">
        <f aca="false">SUMIF(Timeline!$J$12:$AO$12,I$1,Calculations!$J48:$AO48)</f>
        <v>-4109425.01939225</v>
      </c>
      <c r="J5" s="22" t="n">
        <f aca="false">SUMIF(Timeline!$J$12:$AO$12,J$1,Calculations!$J48:$AO48)</f>
        <v>-4566816.05848894</v>
      </c>
      <c r="K5" s="22" t="n">
        <f aca="false">SUMIF(Timeline!$J$12:$AO$12,K$1,Calculations!$J48:$AO48)</f>
        <v>-12063146.5638426</v>
      </c>
      <c r="L5" s="22" t="n">
        <f aca="false">SUMIF(Timeline!$J$12:$AO$12,L$1,Calculations!$J48:$AO48)</f>
        <v>-283407.549502466</v>
      </c>
      <c r="M5" s="22" t="n">
        <f aca="false">SUMIF(Timeline!$J$12:$AO$12,M$1,Calculations!$J48:$AO48)</f>
        <v>5401441.14264141</v>
      </c>
      <c r="N5" s="22" t="n">
        <f aca="false">SUMIF(Timeline!$J$12:$AO$12,N$1,Calculations!$J48:$AO48)</f>
        <v>12687859.0617586</v>
      </c>
      <c r="O5" s="22" t="n">
        <f aca="false">SUMIF(Timeline!$J$12:$AO$12,O$1,Calculations!$J48:$AO48)</f>
        <v>16261694.6114316</v>
      </c>
      <c r="P5" s="22" t="n">
        <f aca="false">SUMIF(Timeline!$J$12:$AO$12,P$1,Calculations!$J48:$AO48)</f>
        <v>22005995.202</v>
      </c>
    </row>
    <row r="6" customFormat="false" ht="15" hidden="false" customHeight="false" outlineLevel="0" collapsed="false">
      <c r="A6" s="2" t="s">
        <v>548</v>
      </c>
      <c r="B6" s="2" t="s">
        <v>190</v>
      </c>
      <c r="C6" s="2" t="s">
        <v>549</v>
      </c>
      <c r="D6" s="2" t="s">
        <v>50</v>
      </c>
      <c r="E6" s="17" t="s">
        <v>550</v>
      </c>
      <c r="F6" s="2" t="s">
        <v>551</v>
      </c>
      <c r="G6" s="2" t="s">
        <v>540</v>
      </c>
      <c r="I6" s="19" t="n">
        <f aca="false">SUMIF(Timeline!$J$12:$AO$12,I$1,Calculations!$J5:$AO5)</f>
        <v>200</v>
      </c>
      <c r="J6" s="19" t="n">
        <f aca="false">SUMIF(Timeline!$J$12:$AO$12,J$1,Calculations!$J5:$AO5)</f>
        <v>307</v>
      </c>
      <c r="K6" s="19" t="n">
        <f aca="false">SUMIF(Timeline!$J$12:$AO$12,K$1,Calculations!$J5:$AO5)</f>
        <v>413</v>
      </c>
      <c r="L6" s="19" t="n">
        <f aca="false">SUMIF(Timeline!$J$12:$AO$12,L$1,Calculations!$J5:$AO5)</f>
        <v>520</v>
      </c>
      <c r="M6" s="19" t="n">
        <f aca="false">SUMIF(Timeline!$J$12:$AO$12,M$1,Calculations!$J5:$AO5)</f>
        <v>612</v>
      </c>
      <c r="N6" s="19" t="n">
        <f aca="false">SUMIF(Timeline!$J$12:$AO$12,N$1,Calculations!$J5:$AO5)</f>
        <v>676</v>
      </c>
      <c r="O6" s="19" t="n">
        <f aca="false">SUMIF(Timeline!$J$12:$AO$12,O$1,Calculations!$J5:$AO5)</f>
        <v>740</v>
      </c>
      <c r="P6" s="19" t="n">
        <f aca="false">SUMIF(Timeline!$J$12:$AO$12,P$1,Calculations!$J5:$AO5)</f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9" min="9" style="0" width="16"/>
    <col collapsed="false" customWidth="true" hidden="false" outlineLevel="0" max="41" min="10" style="0" width="13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41</v>
      </c>
      <c r="D1" s="3" t="s">
        <v>42</v>
      </c>
      <c r="E1" s="3" t="s">
        <v>45</v>
      </c>
      <c r="F1" s="3" t="s">
        <v>552</v>
      </c>
      <c r="G1" s="3" t="s">
        <v>553</v>
      </c>
      <c r="H1" s="3"/>
      <c r="I1" s="3" t="s">
        <v>174</v>
      </c>
      <c r="J1" s="15" t="n">
        <v>1</v>
      </c>
      <c r="K1" s="15" t="n">
        <v>2</v>
      </c>
      <c r="L1" s="15" t="n">
        <v>3</v>
      </c>
      <c r="M1" s="15" t="n">
        <v>4</v>
      </c>
      <c r="N1" s="15" t="n">
        <v>5</v>
      </c>
      <c r="O1" s="15" t="n">
        <v>6</v>
      </c>
      <c r="P1" s="15" t="n">
        <v>7</v>
      </c>
      <c r="Q1" s="15" t="n">
        <v>8</v>
      </c>
      <c r="R1" s="15" t="n">
        <v>9</v>
      </c>
      <c r="S1" s="15" t="n">
        <v>10</v>
      </c>
      <c r="T1" s="15" t="n">
        <v>11</v>
      </c>
      <c r="U1" s="15" t="n">
        <v>12</v>
      </c>
      <c r="V1" s="15" t="n">
        <v>13</v>
      </c>
      <c r="W1" s="15" t="n">
        <v>14</v>
      </c>
      <c r="X1" s="15" t="n">
        <v>15</v>
      </c>
      <c r="Y1" s="15" t="n">
        <v>16</v>
      </c>
      <c r="Z1" s="15" t="n">
        <v>17</v>
      </c>
      <c r="AA1" s="15" t="n">
        <v>18</v>
      </c>
      <c r="AB1" s="15" t="n">
        <v>19</v>
      </c>
      <c r="AC1" s="15" t="n">
        <v>20</v>
      </c>
      <c r="AD1" s="15" t="n">
        <v>21</v>
      </c>
      <c r="AE1" s="15" t="n">
        <v>22</v>
      </c>
      <c r="AF1" s="15" t="n">
        <v>23</v>
      </c>
      <c r="AG1" s="15" t="n">
        <v>24</v>
      </c>
      <c r="AH1" s="15" t="n">
        <v>25</v>
      </c>
      <c r="AI1" s="15" t="n">
        <v>26</v>
      </c>
      <c r="AJ1" s="15" t="n">
        <v>27</v>
      </c>
      <c r="AK1" s="15" t="n">
        <v>28</v>
      </c>
      <c r="AL1" s="15" t="n">
        <v>29</v>
      </c>
      <c r="AM1" s="15" t="n">
        <v>30</v>
      </c>
      <c r="AN1" s="15" t="n">
        <v>31</v>
      </c>
      <c r="AO1" s="15" t="n">
        <v>32</v>
      </c>
    </row>
    <row r="2" customFormat="false" ht="15" hidden="false" customHeight="false" outlineLevel="0" collapsed="false">
      <c r="A2" s="10" t="s">
        <v>175</v>
      </c>
      <c r="J2" s="16" t="str">
        <f aca="false">Timeline!J$13</f>
        <v>2027Q1</v>
      </c>
      <c r="K2" s="16" t="str">
        <f aca="false">Timeline!K$13</f>
        <v>2027Q2</v>
      </c>
      <c r="L2" s="16" t="str">
        <f aca="false">Timeline!L$13</f>
        <v>2027Q3</v>
      </c>
      <c r="M2" s="16" t="str">
        <f aca="false">Timeline!M$13</f>
        <v>2027Q4</v>
      </c>
      <c r="N2" s="16" t="str">
        <f aca="false">Timeline!N$13</f>
        <v>2028Q1</v>
      </c>
      <c r="O2" s="16" t="str">
        <f aca="false">Timeline!O$13</f>
        <v>2028Q2</v>
      </c>
      <c r="P2" s="16" t="str">
        <f aca="false">Timeline!P$13</f>
        <v>2028Q3</v>
      </c>
      <c r="Q2" s="16" t="str">
        <f aca="false">Timeline!Q$13</f>
        <v>2028Q4</v>
      </c>
      <c r="R2" s="16" t="str">
        <f aca="false">Timeline!R$13</f>
        <v>2029Q1</v>
      </c>
      <c r="S2" s="16" t="str">
        <f aca="false">Timeline!S$13</f>
        <v>2029Q2</v>
      </c>
      <c r="T2" s="16" t="str">
        <f aca="false">Timeline!T$13</f>
        <v>2029Q3</v>
      </c>
      <c r="U2" s="16" t="str">
        <f aca="false">Timeline!U$13</f>
        <v>2029Q4</v>
      </c>
      <c r="V2" s="16" t="str">
        <f aca="false">Timeline!V$13</f>
        <v>2030Q1</v>
      </c>
      <c r="W2" s="16" t="str">
        <f aca="false">Timeline!W$13</f>
        <v>2030Q2</v>
      </c>
      <c r="X2" s="16" t="str">
        <f aca="false">Timeline!X$13</f>
        <v>2030Q3</v>
      </c>
      <c r="Y2" s="16" t="str">
        <f aca="false">Timeline!Y$13</f>
        <v>2030Q4</v>
      </c>
      <c r="Z2" s="16" t="str">
        <f aca="false">Timeline!Z$13</f>
        <v>2031Q1</v>
      </c>
      <c r="AA2" s="16" t="str">
        <f aca="false">Timeline!AA$13</f>
        <v>2031Q2</v>
      </c>
      <c r="AB2" s="16" t="str">
        <f aca="false">Timeline!AB$13</f>
        <v>2031Q3</v>
      </c>
      <c r="AC2" s="16" t="str">
        <f aca="false">Timeline!AC$13</f>
        <v>2031Q4</v>
      </c>
      <c r="AD2" s="16" t="str">
        <f aca="false">Timeline!AD$13</f>
        <v>2032Q1</v>
      </c>
      <c r="AE2" s="16" t="str">
        <f aca="false">Timeline!AE$13</f>
        <v>2032Q2</v>
      </c>
      <c r="AF2" s="16" t="str">
        <f aca="false">Timeline!AF$13</f>
        <v>2032Q3</v>
      </c>
      <c r="AG2" s="16" t="str">
        <f aca="false">Timeline!AG$13</f>
        <v>2032Q4</v>
      </c>
      <c r="AH2" s="16" t="str">
        <f aca="false">Timeline!AH$13</f>
        <v>2033Q1</v>
      </c>
      <c r="AI2" s="16" t="str">
        <f aca="false">Timeline!AI$13</f>
        <v>2033Q2</v>
      </c>
      <c r="AJ2" s="16" t="str">
        <f aca="false">Timeline!AJ$13</f>
        <v>2033Q3</v>
      </c>
      <c r="AK2" s="16" t="str">
        <f aca="false">Timeline!AK$13</f>
        <v>2033Q4</v>
      </c>
      <c r="AL2" s="16" t="str">
        <f aca="false">Timeline!AL$13</f>
        <v>2034Q1</v>
      </c>
      <c r="AM2" s="16" t="str">
        <f aca="false">Timeline!AM$13</f>
        <v>2034Q2</v>
      </c>
      <c r="AN2" s="16" t="str">
        <f aca="false">Timeline!AN$13</f>
        <v>2034Q3</v>
      </c>
      <c r="AO2" s="16" t="str">
        <f aca="false">Timeline!AO$13</f>
        <v>2034Q4</v>
      </c>
    </row>
    <row r="3" customFormat="false" ht="15" hidden="false" customHeight="false" outlineLevel="0" collapsed="false">
      <c r="A3" s="2" t="s">
        <v>249</v>
      </c>
      <c r="B3" s="2" t="s">
        <v>242</v>
      </c>
      <c r="C3" s="2" t="s">
        <v>54</v>
      </c>
      <c r="D3" s="2" t="s">
        <v>55</v>
      </c>
      <c r="E3" s="2" t="s">
        <v>251</v>
      </c>
      <c r="F3" s="2" t="s">
        <v>554</v>
      </c>
      <c r="G3" s="2" t="s">
        <v>555</v>
      </c>
      <c r="J3" s="25" t="n">
        <f aca="false">Calculations!J18</f>
        <v>2472000</v>
      </c>
      <c r="K3" s="25" t="n">
        <f aca="false">Calculations!K18</f>
        <v>2653657.45711116</v>
      </c>
      <c r="L3" s="25" t="n">
        <f aca="false">Calculations!L18</f>
        <v>2870872.97889907</v>
      </c>
      <c r="M3" s="25" t="n">
        <f aca="false">Calculations!M18</f>
        <v>3123079.04035019</v>
      </c>
      <c r="N3" s="25" t="n">
        <f aca="false">Calculations!N18</f>
        <v>3412823.4160896</v>
      </c>
      <c r="O3" s="25" t="n">
        <f aca="false">Calculations!O18</f>
        <v>3736419.73468925</v>
      </c>
      <c r="P3" s="25" t="n">
        <f aca="false">Calculations!P18</f>
        <v>4093376.85345392</v>
      </c>
      <c r="Q3" s="25" t="n">
        <f aca="false">Calculations!Q18</f>
        <v>4486385.88466401</v>
      </c>
      <c r="R3" s="25" t="n">
        <f aca="false">Calculations!R18</f>
        <v>4911761.26156144</v>
      </c>
      <c r="S3" s="25" t="n">
        <f aca="false">Calculations!S18</f>
        <v>5369081.58016676</v>
      </c>
      <c r="T3" s="25" t="n">
        <f aca="false">Calculations!T18</f>
        <v>5861176.4235956</v>
      </c>
      <c r="U3" s="25" t="n">
        <f aca="false">Calculations!U18</f>
        <v>6384353.23463123</v>
      </c>
      <c r="V3" s="25" t="n">
        <f aca="false">Calculations!V18</f>
        <v>6938254.35619381</v>
      </c>
      <c r="W3" s="25" t="n">
        <f aca="false">Calculations!W18</f>
        <v>7525843.64072825</v>
      </c>
      <c r="X3" s="25" t="n">
        <f aca="false">Calculations!X18</f>
        <v>8143414.31966493</v>
      </c>
      <c r="Y3" s="25" t="n">
        <f aca="false">Calculations!Y18</f>
        <v>8790667.08106584</v>
      </c>
      <c r="Z3" s="25" t="n">
        <f aca="false">Calculations!Z18</f>
        <v>9470696.45159905</v>
      </c>
      <c r="AA3" s="25" t="n">
        <f aca="false">Calculations!AA18</f>
        <v>10172971.6054165</v>
      </c>
      <c r="AB3" s="25" t="n">
        <f aca="false">Calculations!AB18</f>
        <v>10887089.0738714</v>
      </c>
      <c r="AC3" s="25" t="n">
        <f aca="false">Calculations!AC18</f>
        <v>11613121.9202855</v>
      </c>
      <c r="AD3" s="25" t="n">
        <f aca="false">Calculations!AD18</f>
        <v>12351145.7437404</v>
      </c>
      <c r="AE3" s="25" t="n">
        <f aca="false">Calculations!AE18</f>
        <v>13101238.6435145</v>
      </c>
      <c r="AF3" s="25" t="n">
        <f aca="false">Calculations!AF18</f>
        <v>13863481.1851276</v>
      </c>
      <c r="AG3" s="25" t="n">
        <f aca="false">Calculations!AG18</f>
        <v>14637956.3679421</v>
      </c>
      <c r="AH3" s="25" t="n">
        <f aca="false">Calculations!AH18</f>
        <v>15424749.5942762</v>
      </c>
      <c r="AI3" s="25" t="n">
        <f aca="false">Calculations!AI18</f>
        <v>16223948.6399806</v>
      </c>
      <c r="AJ3" s="25" t="n">
        <f aca="false">Calculations!AJ18</f>
        <v>17035643.6264371</v>
      </c>
      <c r="AK3" s="25" t="n">
        <f aca="false">Calculations!AK18</f>
        <v>17859926.9939341</v>
      </c>
      <c r="AL3" s="25" t="n">
        <f aca="false">Calculations!AL18</f>
        <v>18696893.4763794</v>
      </c>
      <c r="AM3" s="25" t="n">
        <f aca="false">Calculations!AM18</f>
        <v>19546640.0773096</v>
      </c>
      <c r="AN3" s="25" t="n">
        <f aca="false">Calculations!AN18</f>
        <v>20409266.0471574</v>
      </c>
      <c r="AO3" s="25" t="n">
        <f aca="false">Calculations!AO18</f>
        <v>21284872.8617403</v>
      </c>
    </row>
    <row r="4" customFormat="false" ht="15" hidden="false" customHeight="false" outlineLevel="0" collapsed="false">
      <c r="A4" s="2" t="s">
        <v>245</v>
      </c>
      <c r="B4" s="2" t="s">
        <v>246</v>
      </c>
      <c r="C4" s="2" t="s">
        <v>54</v>
      </c>
      <c r="D4" s="2" t="s">
        <v>55</v>
      </c>
      <c r="E4" s="2" t="s">
        <v>248</v>
      </c>
      <c r="F4" s="2" t="s">
        <v>554</v>
      </c>
      <c r="G4" s="2" t="s">
        <v>555</v>
      </c>
      <c r="J4" s="25" t="n">
        <f aca="false">Calculations!J17</f>
        <v>10176000</v>
      </c>
      <c r="K4" s="25" t="n">
        <f aca="false">Calculations!K17</f>
        <v>10977783.5344791</v>
      </c>
      <c r="L4" s="25" t="n">
        <f aca="false">Calculations!L17</f>
        <v>11907777.2882779</v>
      </c>
      <c r="M4" s="25" t="n">
        <f aca="false">Calculations!M17</f>
        <v>12988534.1956632</v>
      </c>
      <c r="N4" s="25" t="n">
        <f aca="false">Calculations!N17</f>
        <v>14217716.2426368</v>
      </c>
      <c r="O4" s="25" t="n">
        <f aca="false">Calculations!O17</f>
        <v>15568187.8129901</v>
      </c>
      <c r="P4" s="25" t="n">
        <f aca="false">Calculations!P17</f>
        <v>17063356.648183</v>
      </c>
      <c r="Q4" s="25" t="n">
        <f aca="false">Calculations!Q17</f>
        <v>18701170.2881004</v>
      </c>
      <c r="R4" s="25" t="n">
        <f aca="false">Calculations!R17</f>
        <v>20454211.8820367</v>
      </c>
      <c r="S4" s="25" t="n">
        <f aca="false">Calculations!S17</f>
        <v>22346730.4016114</v>
      </c>
      <c r="T4" s="25" t="n">
        <f aca="false">Calculations!T17</f>
        <v>24376933.683767</v>
      </c>
      <c r="U4" s="25" t="n">
        <f aca="false">Calculations!U17</f>
        <v>26517086.7264293</v>
      </c>
      <c r="V4" s="25" t="n">
        <f aca="false">Calculations!V17</f>
        <v>28792268.9875349</v>
      </c>
      <c r="W4" s="25" t="n">
        <f aca="false">Calculations!W17</f>
        <v>31200925.8125667</v>
      </c>
      <c r="X4" s="25" t="n">
        <f aca="false">Calculations!X17</f>
        <v>33714969.2384692</v>
      </c>
      <c r="Y4" s="25" t="n">
        <f aca="false">Calculations!Y17</f>
        <v>36360301.0632318</v>
      </c>
      <c r="Z4" s="25" t="n">
        <f aca="false">Calculations!Z17</f>
        <v>39135583.5867146</v>
      </c>
      <c r="AA4" s="25" t="n">
        <f aca="false">Calculations!AA17</f>
        <v>41957917.8240911</v>
      </c>
      <c r="AB4" s="25" t="n">
        <f aca="false">Calculations!AB17</f>
        <v>44827589.8787346</v>
      </c>
      <c r="AC4" s="25" t="n">
        <f aca="false">Calculations!AC17</f>
        <v>47744896.0317961</v>
      </c>
      <c r="AD4" s="25" t="n">
        <f aca="false">Calculations!AD17</f>
        <v>50710142.5972385</v>
      </c>
      <c r="AE4" s="25" t="n">
        <f aca="false">Calculations!AE17</f>
        <v>53723645.7833748</v>
      </c>
      <c r="AF4" s="25" t="n">
        <f aca="false">Calculations!AF17</f>
        <v>56785731.5607091</v>
      </c>
      <c r="AG4" s="25" t="n">
        <f aca="false">Calculations!AG17</f>
        <v>59896735.5358911</v>
      </c>
      <c r="AH4" s="25" t="n">
        <f aca="false">Calculations!AH17</f>
        <v>63057002.8315967</v>
      </c>
      <c r="AI4" s="25" t="n">
        <f aca="false">Calculations!AI17</f>
        <v>66266887.9721573</v>
      </c>
      <c r="AJ4" s="25" t="n">
        <f aca="false">Calculations!AJ17</f>
        <v>69526754.7747628</v>
      </c>
      <c r="AK4" s="25" t="n">
        <f aca="false">Calculations!AK17</f>
        <v>72836976.2460726</v>
      </c>
      <c r="AL4" s="25" t="n">
        <f aca="false">Calculations!AL17</f>
        <v>76197934.4840726</v>
      </c>
      <c r="AM4" s="25" t="n">
        <f aca="false">Calculations!AM17</f>
        <v>79610020.5850208</v>
      </c>
      <c r="AN4" s="25" t="n">
        <f aca="false">Calculations!AN17</f>
        <v>83073634.5553321</v>
      </c>
      <c r="AO4" s="25" t="n">
        <f aca="false">Calculations!AO17</f>
        <v>86589185.228256</v>
      </c>
    </row>
    <row r="5" customFormat="false" ht="15" hidden="false" customHeight="false" outlineLevel="0" collapsed="false">
      <c r="A5" s="2" t="s">
        <v>205</v>
      </c>
      <c r="B5" s="2" t="s">
        <v>206</v>
      </c>
      <c r="C5" s="2" t="s">
        <v>186</v>
      </c>
      <c r="D5" s="2" t="s">
        <v>50</v>
      </c>
      <c r="E5" s="2" t="s">
        <v>208</v>
      </c>
      <c r="F5" s="2" t="s">
        <v>554</v>
      </c>
      <c r="G5" s="2" t="s">
        <v>555</v>
      </c>
      <c r="J5" s="26" t="n">
        <f aca="false">Calculations!J8</f>
        <v>424</v>
      </c>
      <c r="K5" s="26" t="n">
        <f aca="false">Calculations!K8</f>
        <v>454.04</v>
      </c>
      <c r="L5" s="26" t="n">
        <f aca="false">Calculations!L8</f>
        <v>488.8784</v>
      </c>
      <c r="M5" s="26" t="n">
        <f aca="false">Calculations!M8</f>
        <v>529.323264</v>
      </c>
      <c r="N5" s="26" t="n">
        <f aca="false">Calculations!N8</f>
        <v>575.15033344</v>
      </c>
      <c r="O5" s="26" t="n">
        <f aca="false">Calculations!O8</f>
        <v>625.1443201024</v>
      </c>
      <c r="P5" s="26" t="n">
        <f aca="false">Calculations!P8</f>
        <v>680.138547298304</v>
      </c>
      <c r="Q5" s="26" t="n">
        <f aca="false">Calculations!Q8</f>
        <v>739.933005406372</v>
      </c>
      <c r="R5" s="26" t="n">
        <f aca="false">Calculations!R8</f>
        <v>803.335685190117</v>
      </c>
      <c r="S5" s="26" t="n">
        <f aca="false">Calculations!S8</f>
        <v>871.202257782512</v>
      </c>
      <c r="T5" s="26" t="n">
        <f aca="false">Calculations!T8</f>
        <v>943.354167471212</v>
      </c>
      <c r="U5" s="26" t="n">
        <f aca="false">Calculations!U8</f>
        <v>1018.62000077236</v>
      </c>
      <c r="V5" s="26" t="n">
        <f aca="false">Calculations!V8</f>
        <v>1097.87520074147</v>
      </c>
      <c r="W5" s="26" t="n">
        <f aca="false">Calculations!W8</f>
        <v>1180.96019271181</v>
      </c>
      <c r="X5" s="26" t="n">
        <f aca="false">Calculations!X8</f>
        <v>1266.72178500334</v>
      </c>
      <c r="Y5" s="26" t="n">
        <f aca="false">Calculations!Y8</f>
        <v>1356.0529136032</v>
      </c>
      <c r="Z5" s="26" t="n">
        <f aca="false">Calculations!Z8</f>
        <v>1448.81079705908</v>
      </c>
      <c r="AA5" s="26" t="n">
        <f aca="false">Calculations!AA8</f>
        <v>1541.85836517671</v>
      </c>
      <c r="AB5" s="26" t="n">
        <f aca="false">Calculations!AB8</f>
        <v>1635.18403056964</v>
      </c>
      <c r="AC5" s="26" t="n">
        <f aca="false">Calculations!AC8</f>
        <v>1728.77666934686</v>
      </c>
      <c r="AD5" s="26" t="n">
        <f aca="false">Calculations!AD8</f>
        <v>1822.62560257298</v>
      </c>
      <c r="AE5" s="26" t="n">
        <f aca="false">Calculations!AE8</f>
        <v>1916.72057847006</v>
      </c>
      <c r="AF5" s="26" t="n">
        <f aca="false">Calculations!AF8</f>
        <v>2011.05175533126</v>
      </c>
      <c r="AG5" s="26" t="n">
        <f aca="false">Calculations!AG8</f>
        <v>2105.60968511801</v>
      </c>
      <c r="AH5" s="26" t="n">
        <f aca="false">Calculations!AH8</f>
        <v>2200.38529771329</v>
      </c>
      <c r="AI5" s="26" t="n">
        <f aca="false">Calculations!AI8</f>
        <v>2295.36988580476</v>
      </c>
      <c r="AJ5" s="26" t="n">
        <f aca="false">Calculations!AJ8</f>
        <v>2390.55509037257</v>
      </c>
      <c r="AK5" s="26" t="n">
        <f aca="false">Calculations!AK8</f>
        <v>2485.93288675767</v>
      </c>
      <c r="AL5" s="26" t="n">
        <f aca="false">Calculations!AL8</f>
        <v>2581.49557128736</v>
      </c>
      <c r="AM5" s="26" t="n">
        <f aca="false">Calculations!AM8</f>
        <v>2677.23574843586</v>
      </c>
      <c r="AN5" s="26" t="n">
        <f aca="false">Calculations!AN8</f>
        <v>2773.14631849843</v>
      </c>
      <c r="AO5" s="26" t="n">
        <f aca="false">Calculations!AO8</f>
        <v>2869.22046575849</v>
      </c>
    </row>
    <row r="6" customFormat="false" ht="15" hidden="false" customHeight="false" outlineLevel="0" collapsed="false">
      <c r="A6" s="2" t="s">
        <v>272</v>
      </c>
      <c r="B6" s="2" t="s">
        <v>273</v>
      </c>
      <c r="C6" s="2" t="s">
        <v>274</v>
      </c>
      <c r="D6" s="2" t="s">
        <v>75</v>
      </c>
      <c r="E6" s="2" t="s">
        <v>276</v>
      </c>
      <c r="F6" s="2" t="s">
        <v>554</v>
      </c>
      <c r="G6" s="2" t="s">
        <v>555</v>
      </c>
      <c r="J6" s="27" t="n">
        <f aca="false">Calculations!J24</f>
        <v>0.845</v>
      </c>
      <c r="K6" s="27" t="n">
        <f aca="false">Calculations!K24</f>
        <v>0.84551537246984</v>
      </c>
      <c r="L6" s="27" t="n">
        <f aca="false">Calculations!L24</f>
        <v>0.846026950528499</v>
      </c>
      <c r="M6" s="27" t="n">
        <f aca="false">Calculations!M24</f>
        <v>0.846534762112193</v>
      </c>
      <c r="N6" s="27" t="n">
        <f aca="false">Calculations!N24</f>
        <v>0.847038834951456</v>
      </c>
      <c r="O6" s="27" t="n">
        <f aca="false">Calculations!O24</f>
        <v>0.84753919657266</v>
      </c>
      <c r="P6" s="27" t="n">
        <f aca="false">Calculations!P24</f>
        <v>0.848035874299514</v>
      </c>
      <c r="Q6" s="27" t="n">
        <f aca="false">Calculations!Q24</f>
        <v>0.848528895254556</v>
      </c>
      <c r="R6" s="27" t="n">
        <f aca="false">Calculations!R24</f>
        <v>0.849018286360637</v>
      </c>
      <c r="S6" s="27" t="n">
        <f aca="false">Calculations!S24</f>
        <v>0.849504074342389</v>
      </c>
      <c r="T6" s="27" t="n">
        <f aca="false">Calculations!T24</f>
        <v>0.849986285727684</v>
      </c>
      <c r="U6" s="27" t="n">
        <f aca="false">Calculations!U24</f>
        <v>0.850464946849084</v>
      </c>
      <c r="V6" s="27" t="n">
        <f aca="false">Calculations!V24</f>
        <v>0.850940083845279</v>
      </c>
      <c r="W6" s="27" t="n">
        <f aca="false">Calculations!W24</f>
        <v>0.851411722662513</v>
      </c>
      <c r="X6" s="27" t="n">
        <f aca="false">Calculations!X24</f>
        <v>0.851879889056003</v>
      </c>
      <c r="Y6" s="27" t="n">
        <f aca="false">Calculations!Y24</f>
        <v>0.852344608591343</v>
      </c>
      <c r="Z6" s="27" t="n">
        <f aca="false">Calculations!Z24</f>
        <v>0.852805906645902</v>
      </c>
      <c r="AA6" s="27" t="n">
        <f aca="false">Calculations!AA24</f>
        <v>0.853263808410207</v>
      </c>
      <c r="AB6" s="27" t="n">
        <f aca="false">Calculations!AB24</f>
        <v>0.853718338889324</v>
      </c>
      <c r="AC6" s="27" t="n">
        <f aca="false">Calculations!AC24</f>
        <v>0.854169522904217</v>
      </c>
      <c r="AD6" s="27" t="n">
        <f aca="false">Calculations!AD24</f>
        <v>0.854617385093108</v>
      </c>
      <c r="AE6" s="27" t="n">
        <f aca="false">Calculations!AE24</f>
        <v>0.855061949912822</v>
      </c>
      <c r="AF6" s="27" t="n">
        <f aca="false">Calculations!AF24</f>
        <v>0.85550324164012</v>
      </c>
      <c r="AG6" s="27" t="n">
        <f aca="false">Calculations!AG24</f>
        <v>0.855941284373026</v>
      </c>
      <c r="AH6" s="27" t="n">
        <f aca="false">Calculations!AH24</f>
        <v>0.856376102032144</v>
      </c>
      <c r="AI6" s="27" t="n">
        <f aca="false">Calculations!AI24</f>
        <v>0.856807718361964</v>
      </c>
      <c r="AJ6" s="27" t="n">
        <f aca="false">Calculations!AJ24</f>
        <v>0.857236156932155</v>
      </c>
      <c r="AK6" s="27" t="n">
        <f aca="false">Calculations!AK24</f>
        <v>0.85766144113886</v>
      </c>
      <c r="AL6" s="27" t="n">
        <f aca="false">Calculations!AL24</f>
        <v>0.858083594205965</v>
      </c>
      <c r="AM6" s="27" t="n">
        <f aca="false">Calculations!AM24</f>
        <v>0.858502639186372</v>
      </c>
      <c r="AN6" s="27" t="n">
        <f aca="false">Calculations!AN24</f>
        <v>0.858918598963258</v>
      </c>
      <c r="AO6" s="27" t="n">
        <f aca="false">Calculations!AO24</f>
        <v>0.859331496251321</v>
      </c>
    </row>
    <row r="7" customFormat="false" ht="15" hidden="false" customHeight="false" outlineLevel="0" collapsed="false">
      <c r="A7" s="2" t="s">
        <v>305</v>
      </c>
      <c r="B7" s="2" t="s">
        <v>306</v>
      </c>
      <c r="C7" s="2" t="s">
        <v>54</v>
      </c>
      <c r="D7" s="2" t="s">
        <v>55</v>
      </c>
      <c r="E7" s="2" t="s">
        <v>308</v>
      </c>
      <c r="F7" s="2" t="s">
        <v>554</v>
      </c>
      <c r="G7" s="2" t="s">
        <v>555</v>
      </c>
      <c r="J7" s="25" t="n">
        <f aca="false">Calculations!J32</f>
        <v>-721160</v>
      </c>
      <c r="K7" s="25" t="n">
        <f aca="false">Calculations!K32</f>
        <v>-736291.826743288</v>
      </c>
      <c r="L7" s="25" t="n">
        <f aca="false">Calculations!L32</f>
        <v>-766539.088307347</v>
      </c>
      <c r="M7" s="25" t="n">
        <f aca="false">Calculations!M32</f>
        <v>-822339.402519578</v>
      </c>
      <c r="N7" s="25" t="n">
        <f aca="false">Calculations!N32</f>
        <v>-926493.764115418</v>
      </c>
      <c r="O7" s="25" t="n">
        <f aca="false">Calculations!O32</f>
        <v>-922082.747737614</v>
      </c>
      <c r="P7" s="25" t="n">
        <f aca="false">Calculations!P32</f>
        <v>-889485.632171549</v>
      </c>
      <c r="Q7" s="25" t="n">
        <f aca="false">Calculations!Q32</f>
        <v>-826383.393801343</v>
      </c>
      <c r="R7" s="25" t="n">
        <f aca="false">Calculations!R32</f>
        <v>-2315866.6092025</v>
      </c>
      <c r="S7" s="25" t="n">
        <f aca="false">Calculations!S32</f>
        <v>-2198261.10414027</v>
      </c>
      <c r="T7" s="25" t="n">
        <f aca="false">Calculations!T32</f>
        <v>-2051131.14823112</v>
      </c>
      <c r="U7" s="25" t="n">
        <f aca="false">Calculations!U32</f>
        <v>-1877583.36032434</v>
      </c>
      <c r="V7" s="25" t="n">
        <f aca="false">Calculations!V32</f>
        <v>-202894.550948348</v>
      </c>
      <c r="W7" s="25" t="n">
        <f aca="false">Calculations!W32</f>
        <v>80484.8717296831</v>
      </c>
      <c r="X7" s="25" t="n">
        <f aca="false">Calculations!X32</f>
        <v>389426.594588967</v>
      </c>
      <c r="Y7" s="25" t="n">
        <f aca="false">Calculations!Y32</f>
        <v>723698.792569003</v>
      </c>
      <c r="Z7" s="25" t="n">
        <f aca="false">Calculations!Z32</f>
        <v>1005962.50157771</v>
      </c>
      <c r="AA7" s="25" t="n">
        <f aca="false">Calculations!AA32</f>
        <v>1472257.53818032</v>
      </c>
      <c r="AB7" s="25" t="n">
        <f aca="false">Calculations!AB32</f>
        <v>1903712.3688617</v>
      </c>
      <c r="AC7" s="25" t="n">
        <f aca="false">Calculations!AC32</f>
        <v>2390384.69868928</v>
      </c>
      <c r="AD7" s="25" t="n">
        <f aca="false">Calculations!AD32</f>
        <v>2802334.01424502</v>
      </c>
      <c r="AE7" s="25" t="n">
        <f aca="false">Calculations!AE32</f>
        <v>3309621.55001815</v>
      </c>
      <c r="AF7" s="25" t="n">
        <f aca="false">Calculations!AF32</f>
        <v>3782310.25574541</v>
      </c>
      <c r="AG7" s="25" t="n">
        <f aca="false">Calculations!AG32</f>
        <v>4310464.76466094</v>
      </c>
      <c r="AH7" s="25" t="n">
        <f aca="false">Calculations!AH32</f>
        <v>4764151.36261858</v>
      </c>
      <c r="AI7" s="25" t="n">
        <f aca="false">Calculations!AI32</f>
        <v>5313437.95805016</v>
      </c>
      <c r="AJ7" s="25" t="n">
        <f aca="false">Calculations!AJ32</f>
        <v>5828394.05272456</v>
      </c>
      <c r="AK7" s="25" t="n">
        <f aca="false">Calculations!AK32</f>
        <v>6399090.71327251</v>
      </c>
      <c r="AL7" s="25" t="n">
        <f aca="false">Calculations!AL32</f>
        <v>6895600.5434434</v>
      </c>
      <c r="AM7" s="25" t="n">
        <f aca="false">Calculations!AM32</f>
        <v>7487997.65706073</v>
      </c>
      <c r="AN7" s="25" t="n">
        <f aca="false">Calculations!AN32</f>
        <v>8046357.65164371</v>
      </c>
      <c r="AO7" s="25" t="n">
        <f aca="false">Calculations!AO32</f>
        <v>8660757.5826631</v>
      </c>
    </row>
    <row r="8" customFormat="false" ht="15" hidden="false" customHeight="false" outlineLevel="0" collapsed="false">
      <c r="A8" s="2" t="s">
        <v>374</v>
      </c>
      <c r="B8" s="2" t="s">
        <v>375</v>
      </c>
      <c r="C8" s="2" t="s">
        <v>54</v>
      </c>
      <c r="D8" s="2" t="s">
        <v>55</v>
      </c>
      <c r="E8" s="2" t="s">
        <v>377</v>
      </c>
      <c r="F8" s="2" t="s">
        <v>554</v>
      </c>
      <c r="G8" s="2" t="s">
        <v>555</v>
      </c>
      <c r="J8" s="25" t="n">
        <f aca="false">Calculations!J48</f>
        <v>-570877.808219178</v>
      </c>
      <c r="K8" s="25" t="n">
        <f aca="false">Calculations!K48</f>
        <v>-1142947.77109346</v>
      </c>
      <c r="L8" s="25" t="n">
        <f aca="false">Calculations!L48</f>
        <v>-1170788.65051969</v>
      </c>
      <c r="M8" s="25" t="n">
        <f aca="false">Calculations!M48</f>
        <v>-1224810.78955991</v>
      </c>
      <c r="N8" s="25" t="n">
        <f aca="false">Calculations!N48</f>
        <v>-1177363.15882507</v>
      </c>
      <c r="O8" s="25" t="n">
        <f aca="false">Calculations!O48</f>
        <v>-1172450.98158807</v>
      </c>
      <c r="P8" s="25" t="n">
        <f aca="false">Calculations!P48</f>
        <v>-1139942.3726017</v>
      </c>
      <c r="Q8" s="25" t="n">
        <f aca="false">Calculations!Q48</f>
        <v>-1077059.5454741</v>
      </c>
      <c r="R8" s="25" t="n">
        <f aca="false">Calculations!R48</f>
        <v>-3217837.08079761</v>
      </c>
      <c r="S8" s="25" t="n">
        <f aca="false">Calculations!S48</f>
        <v>-3102081.51948447</v>
      </c>
      <c r="T8" s="25" t="n">
        <f aca="false">Calculations!T48</f>
        <v>-2956891.3003492</v>
      </c>
      <c r="U8" s="25" t="n">
        <f aca="false">Calculations!U48</f>
        <v>-2786336.66321134</v>
      </c>
      <c r="V8" s="25" t="n">
        <f aca="false">Calculations!V48</f>
        <v>-515166.664364318</v>
      </c>
      <c r="W8" s="25" t="n">
        <f aca="false">Calculations!W48</f>
        <v>-235358.493786415</v>
      </c>
      <c r="X8" s="25" t="n">
        <f aca="false">Calculations!X48</f>
        <v>68976.0132400706</v>
      </c>
      <c r="Y8" s="25" t="n">
        <f aca="false">Calculations!Y48</f>
        <v>398141.595408196</v>
      </c>
      <c r="Z8" s="25" t="n">
        <f aca="false">Calculations!Z48</f>
        <v>675280.20503314</v>
      </c>
      <c r="AA8" s="25" t="n">
        <f aca="false">Calculations!AA48</f>
        <v>1134474.86838581</v>
      </c>
      <c r="AB8" s="25" t="n">
        <f aca="false">Calculations!AB48</f>
        <v>1557036.43769217</v>
      </c>
      <c r="AC8" s="25" t="n">
        <f aca="false">Calculations!AC48</f>
        <v>2034649.63153029</v>
      </c>
      <c r="AD8" s="25" t="n">
        <f aca="false">Calculations!AD48</f>
        <v>2437373.32141119</v>
      </c>
      <c r="AE8" s="25" t="n">
        <f aca="false">Calculations!AE48</f>
        <v>2935268.0848074</v>
      </c>
      <c r="AF8" s="25" t="n">
        <f aca="false">Calculations!AF48</f>
        <v>3398396.17339098</v>
      </c>
      <c r="AG8" s="25" t="n">
        <f aca="false">Calculations!AG48</f>
        <v>3916821.48214906</v>
      </c>
      <c r="AH8" s="25" t="n">
        <f aca="false">Calculations!AH48</f>
        <v>4008695.79921678</v>
      </c>
      <c r="AI8" s="25" t="n">
        <f aca="false">Calculations!AI48</f>
        <v>3691680.53794248</v>
      </c>
      <c r="AJ8" s="25" t="n">
        <f aca="false">Calculations!AJ48</f>
        <v>4070436.66244115</v>
      </c>
      <c r="AK8" s="25" t="n">
        <f aca="false">Calculations!AK48</f>
        <v>4490881.61183124</v>
      </c>
      <c r="AL8" s="25" t="n">
        <f aca="false">Calculations!AL48</f>
        <v>4855562.63248348</v>
      </c>
      <c r="AM8" s="25" t="n">
        <f aca="false">Calculations!AM48</f>
        <v>5292031.38891701</v>
      </c>
      <c r="AN8" s="25" t="n">
        <f aca="false">Calculations!AN48</f>
        <v>5702843.90558881</v>
      </c>
      <c r="AO8" s="25" t="n">
        <f aca="false">Calculations!AO48</f>
        <v>6155557.27501072</v>
      </c>
    </row>
    <row r="9" customFormat="false" ht="15" hidden="false" customHeight="false" outlineLevel="0" collapsed="false">
      <c r="A9" s="2" t="s">
        <v>387</v>
      </c>
      <c r="B9" s="2" t="s">
        <v>388</v>
      </c>
      <c r="C9" s="2" t="s">
        <v>54</v>
      </c>
      <c r="D9" s="2" t="s">
        <v>55</v>
      </c>
      <c r="E9" s="2" t="s">
        <v>390</v>
      </c>
      <c r="F9" s="2" t="s">
        <v>554</v>
      </c>
      <c r="G9" s="2" t="s">
        <v>555</v>
      </c>
      <c r="J9" s="25" t="n">
        <f aca="false">Calculations!J51</f>
        <v>24429122.1917808</v>
      </c>
      <c r="K9" s="25" t="n">
        <f aca="false">Calculations!K51</f>
        <v>23286174.4206874</v>
      </c>
      <c r="L9" s="25" t="n">
        <f aca="false">Calculations!L51</f>
        <v>22115385.7701677</v>
      </c>
      <c r="M9" s="25" t="n">
        <f aca="false">Calculations!M51</f>
        <v>20890574.9806077</v>
      </c>
      <c r="N9" s="25" t="n">
        <f aca="false">Calculations!N51</f>
        <v>19713211.8217827</v>
      </c>
      <c r="O9" s="25" t="n">
        <f aca="false">Calculations!O51</f>
        <v>48540760.8401946</v>
      </c>
      <c r="P9" s="25" t="n">
        <f aca="false">Calculations!P51</f>
        <v>47400818.4675929</v>
      </c>
      <c r="Q9" s="25" t="n">
        <f aca="false">Calculations!Q51</f>
        <v>46323758.9221188</v>
      </c>
      <c r="R9" s="25" t="n">
        <f aca="false">Calculations!R51</f>
        <v>43105921.8413212</v>
      </c>
      <c r="S9" s="25" t="n">
        <f aca="false">Calculations!S51</f>
        <v>40003840.3218367</v>
      </c>
      <c r="T9" s="25" t="n">
        <f aca="false">Calculations!T51</f>
        <v>37046949.0214875</v>
      </c>
      <c r="U9" s="25" t="n">
        <f aca="false">Calculations!U51</f>
        <v>34260612.3582762</v>
      </c>
      <c r="V9" s="25" t="n">
        <f aca="false">Calculations!V51</f>
        <v>33745445.6939119</v>
      </c>
      <c r="W9" s="25" t="n">
        <f aca="false">Calculations!W51</f>
        <v>73510087.2001255</v>
      </c>
      <c r="X9" s="25" t="n">
        <f aca="false">Calculations!X51</f>
        <v>73579063.2133655</v>
      </c>
      <c r="Y9" s="25" t="n">
        <f aca="false">Calculations!Y51</f>
        <v>73977204.8087737</v>
      </c>
      <c r="Z9" s="25" t="n">
        <f aca="false">Calculations!Z51</f>
        <v>74652485.0138069</v>
      </c>
      <c r="AA9" s="25" t="n">
        <f aca="false">Calculations!AA51</f>
        <v>75786959.8821927</v>
      </c>
      <c r="AB9" s="25" t="n">
        <f aca="false">Calculations!AB51</f>
        <v>77343996.3198848</v>
      </c>
      <c r="AC9" s="25" t="n">
        <f aca="false">Calculations!AC51</f>
        <v>79378645.9514151</v>
      </c>
      <c r="AD9" s="25" t="n">
        <f aca="false">Calculations!AD51</f>
        <v>81816019.2728263</v>
      </c>
      <c r="AE9" s="25" t="n">
        <f aca="false">Calculations!AE51</f>
        <v>84751287.3576337</v>
      </c>
      <c r="AF9" s="25" t="n">
        <f aca="false">Calculations!AF51</f>
        <v>88149683.5310247</v>
      </c>
      <c r="AG9" s="25" t="n">
        <f aca="false">Calculations!AG51</f>
        <v>92066505.0131738</v>
      </c>
      <c r="AH9" s="25" t="n">
        <f aca="false">Calculations!AH51</f>
        <v>96075200.8123905</v>
      </c>
      <c r="AI9" s="25" t="n">
        <f aca="false">Calculations!AI51</f>
        <v>99766881.350333</v>
      </c>
      <c r="AJ9" s="25" t="n">
        <f aca="false">Calculations!AJ51</f>
        <v>103837318.012774</v>
      </c>
      <c r="AK9" s="25" t="n">
        <f aca="false">Calculations!AK51</f>
        <v>108328199.624605</v>
      </c>
      <c r="AL9" s="25" t="n">
        <f aca="false">Calculations!AL51</f>
        <v>113183762.257089</v>
      </c>
      <c r="AM9" s="25" t="n">
        <f aca="false">Calculations!AM51</f>
        <v>118475793.646006</v>
      </c>
      <c r="AN9" s="25" t="n">
        <f aca="false">Calculations!AN51</f>
        <v>124178637.551595</v>
      </c>
      <c r="AO9" s="25" t="n">
        <f aca="false">Calculations!AO51</f>
        <v>130334194.826605</v>
      </c>
    </row>
    <row r="10" customFormat="false" ht="15" hidden="false" customHeight="false" outlineLevel="0" collapsed="false">
      <c r="A10" s="2" t="s">
        <v>507</v>
      </c>
      <c r="B10" s="2" t="s">
        <v>508</v>
      </c>
      <c r="C10" s="2" t="s">
        <v>60</v>
      </c>
      <c r="D10" s="2" t="s">
        <v>55</v>
      </c>
      <c r="E10" s="2" t="s">
        <v>510</v>
      </c>
      <c r="F10" s="2" t="s">
        <v>554</v>
      </c>
      <c r="G10" s="2" t="s">
        <v>555</v>
      </c>
      <c r="I10" s="25" t="n">
        <f aca="false">Calculations!I77</f>
        <v>51239654.5530028</v>
      </c>
    </row>
    <row r="11" customFormat="false" ht="15" hidden="false" customHeight="false" outlineLevel="0" collapsed="false">
      <c r="A11" s="2" t="s">
        <v>531</v>
      </c>
      <c r="B11" s="2" t="s">
        <v>532</v>
      </c>
      <c r="C11" s="2" t="s">
        <v>74</v>
      </c>
      <c r="D11" s="2" t="s">
        <v>75</v>
      </c>
      <c r="E11" s="2" t="s">
        <v>534</v>
      </c>
      <c r="F11" s="2" t="s">
        <v>554</v>
      </c>
      <c r="G11" s="2" t="s">
        <v>555</v>
      </c>
      <c r="I11" s="27" t="n">
        <f aca="false">Calculations!I82</f>
        <v>0.533715367146039</v>
      </c>
    </row>
    <row r="12" customFormat="false" ht="15" hidden="false" customHeight="false" outlineLevel="0" collapsed="false">
      <c r="A12" s="2" t="s">
        <v>428</v>
      </c>
      <c r="B12" s="2" t="s">
        <v>429</v>
      </c>
      <c r="C12" s="2" t="s">
        <v>196</v>
      </c>
      <c r="D12" s="2" t="s">
        <v>430</v>
      </c>
      <c r="E12" s="2" t="s">
        <v>432</v>
      </c>
      <c r="F12" s="2" t="s">
        <v>554</v>
      </c>
      <c r="G12" s="2" t="s">
        <v>555</v>
      </c>
      <c r="J12" s="28" t="n">
        <f aca="false">Calculations!J59</f>
        <v>5.82758620689655</v>
      </c>
      <c r="K12" s="28" t="n">
        <f aca="false">Calculations!K59</f>
        <v>6.19082028429919</v>
      </c>
      <c r="L12" s="28" t="n">
        <f aca="false">Calculations!L59</f>
        <v>6.12202461590781</v>
      </c>
      <c r="M12" s="28" t="n">
        <f aca="false">Calculations!M59</f>
        <v>6.18222318528562</v>
      </c>
      <c r="N12" s="28" t="n">
        <f aca="false">Calculations!N59</f>
        <v>6.24065658362989</v>
      </c>
      <c r="O12" s="28" t="n">
        <f aca="false">Calculations!O59</f>
        <v>6.21281961374279</v>
      </c>
      <c r="P12" s="28" t="n">
        <f aca="false">Calculations!P59</f>
        <v>6.27598078266985</v>
      </c>
      <c r="Q12" s="28" t="n">
        <f aca="false">Calculations!Q59</f>
        <v>6.33759478929474</v>
      </c>
      <c r="R12" s="28" t="n">
        <f aca="false">Calculations!R59</f>
        <v>6.3300215743073</v>
      </c>
      <c r="S12" s="28" t="n">
        <f aca="false">Calculations!S59</f>
        <v>6.39382694278755</v>
      </c>
      <c r="T12" s="28" t="n">
        <f aca="false">Calculations!T59</f>
        <v>6.45652171587024</v>
      </c>
      <c r="U12" s="28" t="n">
        <f aca="false">Calculations!U59</f>
        <v>6.461199082587</v>
      </c>
      <c r="V12" s="28" t="n">
        <f aca="false">Calculations!V59</f>
        <v>6.52522950877192</v>
      </c>
      <c r="W12" s="28" t="n">
        <f aca="false">Calculations!W59</f>
        <v>6.5884961257648</v>
      </c>
      <c r="X12" s="28" t="n">
        <f aca="false">Calculations!X59</f>
        <v>6.60154274326013</v>
      </c>
      <c r="Y12" s="28" t="n">
        <f aca="false">Calculations!Y59</f>
        <v>6.66580878069584</v>
      </c>
      <c r="Z12" s="28" t="n">
        <f aca="false">Calculations!Z59</f>
        <v>6.72956577849204</v>
      </c>
      <c r="AA12" s="28" t="n">
        <f aca="false">Calculations!AA59</f>
        <v>6.83725382243036</v>
      </c>
      <c r="AB12" s="28" t="n">
        <f aca="false">Calculations!AB59</f>
        <v>6.84978728967817</v>
      </c>
      <c r="AC12" s="28" t="n">
        <f aca="false">Calculations!AC59</f>
        <v>6.95631710903703</v>
      </c>
      <c r="AD12" s="28" t="n">
        <f aca="false">Calculations!AD59</f>
        <v>6.97078842351683</v>
      </c>
      <c r="AE12" s="28" t="n">
        <f aca="false">Calculations!AE59</f>
        <v>7.07638287163927</v>
      </c>
      <c r="AF12" s="28" t="n">
        <f aca="false">Calculations!AF59</f>
        <v>7.09271290667434</v>
      </c>
      <c r="AG12" s="28" t="n">
        <f aca="false">Calculations!AG59</f>
        <v>7.19756506970292</v>
      </c>
      <c r="AH12" s="28" t="n">
        <f aca="false">Calculations!AH59</f>
        <v>7.21568418082793</v>
      </c>
      <c r="AI12" s="28" t="n">
        <f aca="false">Calculations!AI59</f>
        <v>7.31996281758625</v>
      </c>
      <c r="AJ12" s="28" t="n">
        <f aca="false">Calculations!AJ59</f>
        <v>7.3398096998756</v>
      </c>
      <c r="AK12" s="28" t="n">
        <f aca="false">Calculations!AK59</f>
        <v>7.44366350485902</v>
      </c>
      <c r="AL12" s="28" t="n">
        <f aca="false">Calculations!AL59</f>
        <v>7.46518419970128</v>
      </c>
      <c r="AM12" s="28" t="n">
        <f aca="false">Calculations!AM59</f>
        <v>7.5687451816244</v>
      </c>
      <c r="AN12" s="28" t="n">
        <f aca="false">Calculations!AN59</f>
        <v>7.59189221649489</v>
      </c>
      <c r="AO12" s="28" t="n">
        <f aca="false">Calculations!AO59</f>
        <v>7.69527840357377</v>
      </c>
    </row>
    <row r="13" customFormat="false" ht="15" hidden="false" customHeight="false" outlineLevel="0" collapsed="false">
      <c r="A13" s="2" t="s">
        <v>433</v>
      </c>
      <c r="B13" s="2" t="s">
        <v>434</v>
      </c>
      <c r="C13" s="2" t="s">
        <v>196</v>
      </c>
      <c r="D13" s="2" t="s">
        <v>85</v>
      </c>
      <c r="E13" s="2" t="s">
        <v>436</v>
      </c>
      <c r="F13" s="2" t="s">
        <v>554</v>
      </c>
      <c r="G13" s="2" t="s">
        <v>555</v>
      </c>
      <c r="J13" s="28" t="n">
        <f aca="false">Calculations!J60</f>
        <v>12.8698224852071</v>
      </c>
      <c r="K13" s="28" t="n">
        <f aca="false">Calculations!K60</f>
        <v>12.1147112265899</v>
      </c>
      <c r="L13" s="28" t="n">
        <f aca="false">Calculations!L60</f>
        <v>12.2508491398607</v>
      </c>
      <c r="M13" s="28" t="n">
        <f aca="false">Calculations!M60</f>
        <v>12.1315581389084</v>
      </c>
      <c r="N13" s="28" t="n">
        <f aca="false">Calculations!N60</f>
        <v>12.0179662179674</v>
      </c>
      <c r="O13" s="28" t="n">
        <f aca="false">Calculations!O60</f>
        <v>12.0718135505012</v>
      </c>
      <c r="P13" s="28" t="n">
        <f aca="false">Calculations!P60</f>
        <v>11.950323399189</v>
      </c>
      <c r="Q13" s="28" t="n">
        <f aca="false">Calculations!Q60</f>
        <v>11.8341425246511</v>
      </c>
      <c r="R13" s="28" t="n">
        <f aca="false">Calculations!R60</f>
        <v>11.8483008500974</v>
      </c>
      <c r="S13" s="28" t="n">
        <f aca="false">Calculations!S60</f>
        <v>11.7300641182668</v>
      </c>
      <c r="T13" s="28" t="n">
        <f aca="false">Calculations!T60</f>
        <v>11.6161616580099</v>
      </c>
      <c r="U13" s="28" t="n">
        <f aca="false">Calculations!U60</f>
        <v>11.6077525303509</v>
      </c>
      <c r="V13" s="28" t="n">
        <f aca="false">Calculations!V60</f>
        <v>11.4938485917127</v>
      </c>
      <c r="W13" s="28" t="n">
        <f aca="false">Calculations!W60</f>
        <v>11.3834778936436</v>
      </c>
      <c r="X13" s="28" t="n">
        <f aca="false">Calculations!X60</f>
        <v>11.3609807459887</v>
      </c>
      <c r="Y13" s="28" t="n">
        <f aca="false">Calculations!Y60</f>
        <v>11.2514478688917</v>
      </c>
      <c r="Z13" s="28" t="n">
        <f aca="false">Calculations!Z60</f>
        <v>11.1448498266713</v>
      </c>
      <c r="AA13" s="28" t="n">
        <f aca="false">Calculations!AA60</f>
        <v>10.9693163290142</v>
      </c>
      <c r="AB13" s="28" t="n">
        <f aca="false">Calculations!AB60</f>
        <v>10.9492451120367</v>
      </c>
      <c r="AC13" s="28" t="n">
        <f aca="false">Calculations!AC60</f>
        <v>10.781567146007</v>
      </c>
      <c r="AD13" s="28" t="n">
        <f aca="false">Calculations!AD60</f>
        <v>10.7591846780169</v>
      </c>
      <c r="AE13" s="28" t="n">
        <f aca="false">Calculations!AE60</f>
        <v>10.5986351163368</v>
      </c>
      <c r="AF13" s="28" t="n">
        <f aca="false">Calculations!AF60</f>
        <v>10.5742331582918</v>
      </c>
      <c r="AG13" s="28" t="n">
        <f aca="false">Calculations!AG60</f>
        <v>10.4201906163657</v>
      </c>
      <c r="AH13" s="28" t="n">
        <f aca="false">Calculations!AH60</f>
        <v>10.3940247550295</v>
      </c>
      <c r="AI13" s="28" t="n">
        <f aca="false">Calculations!AI60</f>
        <v>10.2459536843291</v>
      </c>
      <c r="AJ13" s="28" t="n">
        <f aca="false">Calculations!AJ60</f>
        <v>10.218248574111</v>
      </c>
      <c r="AK13" s="28" t="n">
        <f aca="false">Calculations!AK60</f>
        <v>10.0756838284055</v>
      </c>
      <c r="AL13" s="28" t="n">
        <f aca="false">Calculations!AL60</f>
        <v>10.0466375636118</v>
      </c>
      <c r="AM13" s="28" t="n">
        <f aca="false">Calculations!AM60</f>
        <v>9.90917228685239</v>
      </c>
      <c r="AN13" s="28" t="n">
        <f aca="false">Calculations!AN60</f>
        <v>9.87896006176796</v>
      </c>
      <c r="AO13" s="28" t="n">
        <f aca="false">Calculations!AO60</f>
        <v>9.74623607706893</v>
      </c>
    </row>
    <row r="14" customFormat="false" ht="15" hidden="false" customHeight="false" outlineLevel="0" collapsed="false">
      <c r="A14" s="2" t="s">
        <v>457</v>
      </c>
      <c r="B14" s="2" t="s">
        <v>458</v>
      </c>
      <c r="C14" s="2" t="s">
        <v>196</v>
      </c>
      <c r="D14" s="2" t="s">
        <v>430</v>
      </c>
      <c r="E14" s="2" t="s">
        <v>460</v>
      </c>
      <c r="F14" s="2" t="s">
        <v>554</v>
      </c>
      <c r="G14" s="2" t="s">
        <v>556</v>
      </c>
      <c r="J14" s="28" t="n">
        <f aca="false">Calculations!J65</f>
        <v>0.0561004135435513</v>
      </c>
      <c r="K14" s="28" t="n">
        <f aca="false">Calculations!K65</f>
        <v>1.42550666351116</v>
      </c>
      <c r="L14" s="28" t="n">
        <f aca="false">Calculations!L65</f>
        <v>1.25892098278867</v>
      </c>
      <c r="M14" s="28" t="n">
        <f aca="false">Calculations!M65</f>
        <v>1.13328980938282</v>
      </c>
      <c r="N14" s="28" t="n">
        <f aca="false">Calculations!N65</f>
        <v>0.957842787993787</v>
      </c>
      <c r="O14" s="28" t="n">
        <f aca="false">Calculations!O65</f>
        <v>0.868178943805012</v>
      </c>
      <c r="P14" s="28" t="n">
        <f aca="false">Calculations!P65</f>
        <v>0.762417157026051</v>
      </c>
      <c r="Q14" s="28" t="n">
        <f aca="false">Calculations!Q65</f>
        <v>0.657620329458494</v>
      </c>
      <c r="R14" s="28" t="n">
        <f aca="false">Calculations!R65</f>
        <v>1.83557372051415</v>
      </c>
      <c r="S14" s="28" t="n">
        <f aca="false">Calculations!S65</f>
        <v>1.63912875218869</v>
      </c>
      <c r="T14" s="28" t="n">
        <f aca="false">Calculations!T65</f>
        <v>1.45645085215784</v>
      </c>
      <c r="U14" s="28" t="n">
        <f aca="false">Calculations!U65</f>
        <v>1.30193337002912</v>
      </c>
      <c r="V14" s="28" t="n">
        <f aca="false">Calculations!V65</f>
        <v>0.226428745147638</v>
      </c>
      <c r="W14" s="28" t="n">
        <f aca="false">Calculations!W65</f>
        <v>0.0977135851568675</v>
      </c>
      <c r="X14" s="28" t="n">
        <f aca="false">Calculations!X65</f>
        <v>0</v>
      </c>
      <c r="Y14" s="28" t="n">
        <f aca="false">Calculations!Y65</f>
        <v>0</v>
      </c>
      <c r="Z14" s="28" t="n">
        <f aca="false">Calculations!Z65</f>
        <v>0</v>
      </c>
      <c r="AA14" s="28" t="n">
        <f aca="false">Calculations!AA65</f>
        <v>0</v>
      </c>
      <c r="AB14" s="28" t="n">
        <f aca="false">Calculations!AB65</f>
        <v>0</v>
      </c>
      <c r="AC14" s="28" t="n">
        <f aca="false">Calculations!AC65</f>
        <v>0</v>
      </c>
      <c r="AD14" s="28" t="n">
        <f aca="false">Calculations!AD65</f>
        <v>0</v>
      </c>
      <c r="AE14" s="28" t="n">
        <f aca="false">Calculations!AE65</f>
        <v>0</v>
      </c>
      <c r="AF14" s="28" t="n">
        <f aca="false">Calculations!AF65</f>
        <v>0</v>
      </c>
      <c r="AG14" s="28" t="n">
        <f aca="false">Calculations!AG65</f>
        <v>0</v>
      </c>
      <c r="AH14" s="28" t="n">
        <f aca="false">Calculations!AH65</f>
        <v>0</v>
      </c>
      <c r="AI14" s="28" t="n">
        <f aca="false">Calculations!AI65</f>
        <v>0</v>
      </c>
      <c r="AJ14" s="28" t="n">
        <f aca="false">Calculations!AJ65</f>
        <v>0</v>
      </c>
      <c r="AK14" s="28" t="n">
        <f aca="false">Calculations!AK65</f>
        <v>0</v>
      </c>
      <c r="AL14" s="28" t="n">
        <f aca="false">Calculations!AL65</f>
        <v>0</v>
      </c>
      <c r="AM14" s="28" t="n">
        <f aca="false">Calculations!AM65</f>
        <v>0</v>
      </c>
      <c r="AN14" s="28" t="n">
        <f aca="false">Calculations!AN65</f>
        <v>0</v>
      </c>
      <c r="AO14" s="28" t="n">
        <f aca="false">Calculations!AO65</f>
        <v>0</v>
      </c>
    </row>
    <row r="15" customFormat="false" ht="15" hidden="false" customHeight="false" outlineLevel="0" collapsed="false">
      <c r="A15" s="2" t="s">
        <v>189</v>
      </c>
      <c r="B15" s="2" t="s">
        <v>190</v>
      </c>
      <c r="C15" s="2" t="s">
        <v>186</v>
      </c>
      <c r="D15" s="2" t="s">
        <v>50</v>
      </c>
      <c r="E15" s="2" t="s">
        <v>192</v>
      </c>
      <c r="F15" s="2" t="s">
        <v>554</v>
      </c>
      <c r="G15" s="2" t="s">
        <v>556</v>
      </c>
      <c r="J15" s="26" t="n">
        <f aca="false">Calculations!J5</f>
        <v>40</v>
      </c>
      <c r="K15" s="26" t="n">
        <f aca="false">Calculations!K5</f>
        <v>47</v>
      </c>
      <c r="L15" s="26" t="n">
        <f aca="false">Calculations!L5</f>
        <v>53</v>
      </c>
      <c r="M15" s="26" t="n">
        <f aca="false">Calculations!M5</f>
        <v>60</v>
      </c>
      <c r="N15" s="26" t="n">
        <f aca="false">Calculations!N5</f>
        <v>67</v>
      </c>
      <c r="O15" s="26" t="n">
        <f aca="false">Calculations!O5</f>
        <v>73</v>
      </c>
      <c r="P15" s="26" t="n">
        <f aca="false">Calculations!P5</f>
        <v>80</v>
      </c>
      <c r="Q15" s="26" t="n">
        <f aca="false">Calculations!Q5</f>
        <v>87</v>
      </c>
      <c r="R15" s="26" t="n">
        <f aca="false">Calculations!R5</f>
        <v>93</v>
      </c>
      <c r="S15" s="26" t="n">
        <f aca="false">Calculations!S5</f>
        <v>100</v>
      </c>
      <c r="T15" s="26" t="n">
        <f aca="false">Calculations!T5</f>
        <v>107</v>
      </c>
      <c r="U15" s="26" t="n">
        <f aca="false">Calculations!U5</f>
        <v>113</v>
      </c>
      <c r="V15" s="26" t="n">
        <f aca="false">Calculations!V5</f>
        <v>120</v>
      </c>
      <c r="W15" s="26" t="n">
        <f aca="false">Calculations!W5</f>
        <v>127</v>
      </c>
      <c r="X15" s="26" t="n">
        <f aca="false">Calculations!X5</f>
        <v>133</v>
      </c>
      <c r="Y15" s="26" t="n">
        <f aca="false">Calculations!Y5</f>
        <v>140</v>
      </c>
      <c r="Z15" s="26" t="n">
        <f aca="false">Calculations!Z5</f>
        <v>147</v>
      </c>
      <c r="AA15" s="26" t="n">
        <f aca="false">Calculations!AA5</f>
        <v>151</v>
      </c>
      <c r="AB15" s="26" t="n">
        <f aca="false">Calculations!AB5</f>
        <v>155</v>
      </c>
      <c r="AC15" s="26" t="n">
        <f aca="false">Calculations!AC5</f>
        <v>159</v>
      </c>
      <c r="AD15" s="26" t="n">
        <f aca="false">Calculations!AD5</f>
        <v>163</v>
      </c>
      <c r="AE15" s="26" t="n">
        <f aca="false">Calculations!AE5</f>
        <v>167</v>
      </c>
      <c r="AF15" s="26" t="n">
        <f aca="false">Calculations!AF5</f>
        <v>171</v>
      </c>
      <c r="AG15" s="26" t="n">
        <f aca="false">Calculations!AG5</f>
        <v>175</v>
      </c>
      <c r="AH15" s="26" t="n">
        <f aca="false">Calculations!AH5</f>
        <v>179</v>
      </c>
      <c r="AI15" s="26" t="n">
        <f aca="false">Calculations!AI5</f>
        <v>183</v>
      </c>
      <c r="AJ15" s="26" t="n">
        <f aca="false">Calculations!AJ5</f>
        <v>187</v>
      </c>
      <c r="AK15" s="26" t="n">
        <f aca="false">Calculations!AK5</f>
        <v>191</v>
      </c>
      <c r="AL15" s="26" t="n">
        <f aca="false">Calculations!AL5</f>
        <v>195</v>
      </c>
      <c r="AM15" s="26" t="n">
        <f aca="false">Calculations!AM5</f>
        <v>199</v>
      </c>
      <c r="AN15" s="26" t="n">
        <f aca="false">Calculations!AN5</f>
        <v>203</v>
      </c>
      <c r="AO15" s="26" t="n">
        <f aca="false">Calculations!AO5</f>
        <v>207</v>
      </c>
    </row>
    <row r="16" customFormat="false" ht="15" hidden="false" customHeight="false" outlineLevel="0" collapsed="false">
      <c r="A16" s="2" t="s">
        <v>194</v>
      </c>
      <c r="B16" s="2" t="s">
        <v>195</v>
      </c>
      <c r="C16" s="2" t="s">
        <v>196</v>
      </c>
      <c r="D16" s="2" t="s">
        <v>75</v>
      </c>
      <c r="E16" s="2" t="s">
        <v>198</v>
      </c>
      <c r="F16" s="2" t="s">
        <v>554</v>
      </c>
      <c r="G16" s="2" t="s">
        <v>556</v>
      </c>
      <c r="J16" s="28" t="n">
        <f aca="false">Calculations!J6</f>
        <v>0.96</v>
      </c>
      <c r="K16" s="28" t="n">
        <f aca="false">Calculations!K6</f>
        <v>0.9216</v>
      </c>
      <c r="L16" s="28" t="n">
        <f aca="false">Calculations!L6</f>
        <v>0.884736</v>
      </c>
      <c r="M16" s="28" t="n">
        <f aca="false">Calculations!M6</f>
        <v>0.84934656</v>
      </c>
      <c r="N16" s="28" t="n">
        <f aca="false">Calculations!N6</f>
        <v>0.8153726976</v>
      </c>
      <c r="O16" s="28" t="n">
        <f aca="false">Calculations!O6</f>
        <v>0.782757789696</v>
      </c>
      <c r="P16" s="28" t="n">
        <f aca="false">Calculations!P6</f>
        <v>0.75144747810816</v>
      </c>
      <c r="Q16" s="28" t="n">
        <f aca="false">Calculations!Q6</f>
        <v>0.721389578983833</v>
      </c>
      <c r="R16" s="28" t="n">
        <f aca="false">Calculations!R6</f>
        <v>0.69253399582448</v>
      </c>
      <c r="S16" s="28" t="n">
        <f aca="false">Calculations!S6</f>
        <v>0.664832635991501</v>
      </c>
      <c r="T16" s="28" t="n">
        <f aca="false">Calculations!T6</f>
        <v>0.638239330551841</v>
      </c>
      <c r="U16" s="28" t="n">
        <f aca="false">Calculations!U6</f>
        <v>0.612709757329767</v>
      </c>
      <c r="V16" s="28" t="n">
        <f aca="false">Calculations!V6</f>
        <v>0.588201367036576</v>
      </c>
      <c r="W16" s="28" t="n">
        <f aca="false">Calculations!W6</f>
        <v>0.564673312355113</v>
      </c>
      <c r="X16" s="28" t="n">
        <f aca="false">Calculations!X6</f>
        <v>0.542086379860909</v>
      </c>
      <c r="Y16" s="28" t="n">
        <f aca="false">Calculations!Y6</f>
        <v>0.520402924666472</v>
      </c>
      <c r="Z16" s="28" t="n">
        <f aca="false">Calculations!Z6</f>
        <v>0.499586807679814</v>
      </c>
      <c r="AA16" s="28" t="n">
        <f aca="false">Calculations!AA6</f>
        <v>0.479603335372621</v>
      </c>
      <c r="AB16" s="28" t="n">
        <f aca="false">Calculations!AB6</f>
        <v>0.460419201957716</v>
      </c>
      <c r="AC16" s="28" t="n">
        <f aca="false">Calculations!AC6</f>
        <v>0.442002433879407</v>
      </c>
      <c r="AD16" s="28" t="n">
        <f aca="false">Calculations!AD6</f>
        <v>0.424322336524231</v>
      </c>
      <c r="AE16" s="28" t="n">
        <f aca="false">Calculations!AE6</f>
        <v>0.407349443063262</v>
      </c>
      <c r="AF16" s="28" t="n">
        <f aca="false">Calculations!AF6</f>
        <v>0.391055465340731</v>
      </c>
      <c r="AG16" s="28" t="n">
        <f aca="false">Calculations!AG6</f>
        <v>0.375413246727102</v>
      </c>
      <c r="AH16" s="28" t="n">
        <f aca="false">Calculations!AH6</f>
        <v>0.360396716858018</v>
      </c>
      <c r="AI16" s="28" t="n">
        <f aca="false">Calculations!AI6</f>
        <v>0.345980848183697</v>
      </c>
      <c r="AJ16" s="28" t="n">
        <f aca="false">Calculations!AJ6</f>
        <v>0.332141614256349</v>
      </c>
      <c r="AK16" s="28" t="n">
        <f aca="false">Calculations!AK6</f>
        <v>0.318855949686095</v>
      </c>
      <c r="AL16" s="28" t="n">
        <f aca="false">Calculations!AL6</f>
        <v>0.306101711698652</v>
      </c>
      <c r="AM16" s="28" t="n">
        <f aca="false">Calculations!AM6</f>
        <v>0.293857643230705</v>
      </c>
      <c r="AN16" s="28" t="n">
        <f aca="false">Calculations!AN6</f>
        <v>0.282103337501477</v>
      </c>
      <c r="AO16" s="28" t="n">
        <f aca="false">Calculations!AO6</f>
        <v>0.270819204001418</v>
      </c>
    </row>
    <row r="17" customFormat="false" ht="15" hidden="false" customHeight="false" outlineLevel="0" collapsed="false">
      <c r="A17" s="2" t="s">
        <v>214</v>
      </c>
      <c r="B17" s="2" t="s">
        <v>215</v>
      </c>
      <c r="C17" s="2" t="s">
        <v>186</v>
      </c>
      <c r="D17" s="2" t="s">
        <v>50</v>
      </c>
      <c r="E17" s="2" t="s">
        <v>217</v>
      </c>
      <c r="F17" s="2" t="s">
        <v>554</v>
      </c>
      <c r="G17" s="2" t="s">
        <v>556</v>
      </c>
      <c r="J17" s="26" t="n">
        <f aca="false">Calculations!J10</f>
        <v>16</v>
      </c>
      <c r="K17" s="26" t="n">
        <f aca="false">Calculations!K10</f>
        <v>16.96</v>
      </c>
      <c r="L17" s="26" t="n">
        <f aca="false">Calculations!L10</f>
        <v>18.1616</v>
      </c>
      <c r="M17" s="26" t="n">
        <f aca="false">Calculations!M10</f>
        <v>19.555136</v>
      </c>
      <c r="N17" s="26" t="n">
        <f aca="false">Calculations!N10</f>
        <v>21.17293056</v>
      </c>
      <c r="O17" s="26" t="n">
        <f aca="false">Calculations!O10</f>
        <v>23.0060133376</v>
      </c>
      <c r="P17" s="26" t="n">
        <f aca="false">Calculations!P10</f>
        <v>25.005772804096</v>
      </c>
      <c r="Q17" s="26" t="n">
        <f aca="false">Calculations!Q10</f>
        <v>27.2055418919322</v>
      </c>
      <c r="R17" s="26" t="n">
        <f aca="false">Calculations!R10</f>
        <v>29.5973202162549</v>
      </c>
      <c r="S17" s="26" t="n">
        <f aca="false">Calculations!S10</f>
        <v>32.1334274076047</v>
      </c>
      <c r="T17" s="26" t="n">
        <f aca="false">Calculations!T10</f>
        <v>34.8480903113005</v>
      </c>
      <c r="U17" s="26" t="n">
        <f aca="false">Calculations!U10</f>
        <v>37.7341666988485</v>
      </c>
      <c r="V17" s="26" t="n">
        <f aca="false">Calculations!V10</f>
        <v>40.7448000308945</v>
      </c>
      <c r="W17" s="26" t="n">
        <f aca="false">Calculations!W10</f>
        <v>43.9150080296587</v>
      </c>
      <c r="X17" s="26" t="n">
        <f aca="false">Calculations!X10</f>
        <v>47.2384077084724</v>
      </c>
      <c r="Y17" s="26" t="n">
        <f aca="false">Calculations!Y10</f>
        <v>50.6688714001335</v>
      </c>
      <c r="Z17" s="26" t="n">
        <f aca="false">Calculations!Z10</f>
        <v>54.2421165441282</v>
      </c>
      <c r="AA17" s="26" t="n">
        <f aca="false">Calculations!AA10</f>
        <v>57.952431882363</v>
      </c>
      <c r="AB17" s="26" t="n">
        <f aca="false">Calculations!AB10</f>
        <v>61.6743346070685</v>
      </c>
      <c r="AC17" s="26" t="n">
        <f aca="false">Calculations!AC10</f>
        <v>65.4073612227858</v>
      </c>
      <c r="AD17" s="26" t="n">
        <f aca="false">Calculations!AD10</f>
        <v>69.1510667738743</v>
      </c>
      <c r="AE17" s="26" t="n">
        <f aca="false">Calculations!AE10</f>
        <v>72.9050241029193</v>
      </c>
      <c r="AF17" s="26" t="n">
        <f aca="false">Calculations!AF10</f>
        <v>76.6688231388026</v>
      </c>
      <c r="AG17" s="26" t="n">
        <f aca="false">Calculations!AG10</f>
        <v>80.4420702132505</v>
      </c>
      <c r="AH17" s="26" t="n">
        <f aca="false">Calculations!AH10</f>
        <v>84.2243874047205</v>
      </c>
      <c r="AI17" s="26" t="n">
        <f aca="false">Calculations!AI10</f>
        <v>88.0154119085316</v>
      </c>
      <c r="AJ17" s="26" t="n">
        <f aca="false">Calculations!AJ10</f>
        <v>91.8147954321904</v>
      </c>
      <c r="AK17" s="26" t="n">
        <f aca="false">Calculations!AK10</f>
        <v>95.6222036149027</v>
      </c>
      <c r="AL17" s="26" t="n">
        <f aca="false">Calculations!AL10</f>
        <v>99.4373154703066</v>
      </c>
      <c r="AM17" s="26" t="n">
        <f aca="false">Calculations!AM10</f>
        <v>103.259822851494</v>
      </c>
      <c r="AN17" s="26" t="n">
        <f aca="false">Calculations!AN10</f>
        <v>107.089429937435</v>
      </c>
      <c r="AO17" s="26" t="n">
        <f aca="false">Calculations!AO10</f>
        <v>110.925852739937</v>
      </c>
    </row>
    <row r="18" customFormat="false" ht="15" hidden="false" customHeight="false" outlineLevel="0" collapsed="false">
      <c r="A18" s="2" t="s">
        <v>222</v>
      </c>
      <c r="B18" s="2" t="s">
        <v>223</v>
      </c>
      <c r="C18" s="2" t="s">
        <v>186</v>
      </c>
      <c r="D18" s="2" t="s">
        <v>50</v>
      </c>
      <c r="E18" s="2" t="s">
        <v>225</v>
      </c>
      <c r="F18" s="2" t="s">
        <v>554</v>
      </c>
      <c r="G18" s="2" t="s">
        <v>556</v>
      </c>
      <c r="J18" s="26" t="n">
        <f aca="false">Calculations!J12</f>
        <v>412</v>
      </c>
      <c r="K18" s="26" t="n">
        <f aca="false">Calculations!K12</f>
        <v>439.02</v>
      </c>
      <c r="L18" s="26" t="n">
        <f aca="false">Calculations!L12</f>
        <v>471.4592</v>
      </c>
      <c r="M18" s="26" t="n">
        <f aca="false">Calculations!M12</f>
        <v>509.100832</v>
      </c>
      <c r="N18" s="26" t="n">
        <f aca="false">Calculations!N12</f>
        <v>552.23679872</v>
      </c>
      <c r="O18" s="26" t="n">
        <f aca="false">Calculations!O12</f>
        <v>600.1473267712</v>
      </c>
      <c r="P18" s="26" t="n">
        <f aca="false">Calculations!P12</f>
        <v>652.641433700352</v>
      </c>
      <c r="Q18" s="26" t="n">
        <f aca="false">Calculations!Q12</f>
        <v>710.035776352338</v>
      </c>
      <c r="R18" s="26" t="n">
        <f aca="false">Calculations!R12</f>
        <v>771.634345298244</v>
      </c>
      <c r="S18" s="26" t="n">
        <f aca="false">Calculations!S12</f>
        <v>837.268971486315</v>
      </c>
      <c r="T18" s="26" t="n">
        <f aca="false">Calculations!T12</f>
        <v>907.278212626862</v>
      </c>
      <c r="U18" s="26" t="n">
        <f aca="false">Calculations!U12</f>
        <v>980.987084121788</v>
      </c>
      <c r="V18" s="26" t="n">
        <f aca="false">Calculations!V12</f>
        <v>1058.24760075692</v>
      </c>
      <c r="W18" s="26" t="n">
        <f aca="false">Calculations!W12</f>
        <v>1139.41769672664</v>
      </c>
      <c r="X18" s="26" t="n">
        <f aca="false">Calculations!X12</f>
        <v>1223.84098885757</v>
      </c>
      <c r="Y18" s="26" t="n">
        <f aca="false">Calculations!Y12</f>
        <v>1311.38734930327</v>
      </c>
      <c r="Z18" s="26" t="n">
        <f aca="false">Calculations!Z12</f>
        <v>1402.43185533114</v>
      </c>
      <c r="AA18" s="26" t="n">
        <f aca="false">Calculations!AA12</f>
        <v>1495.33458111789</v>
      </c>
      <c r="AB18" s="26" t="n">
        <f aca="false">Calculations!AB12</f>
        <v>1588.52119787318</v>
      </c>
      <c r="AC18" s="26" t="n">
        <f aca="false">Calculations!AC12</f>
        <v>1681.98034995825</v>
      </c>
      <c r="AD18" s="26" t="n">
        <f aca="false">Calculations!AD12</f>
        <v>1775.70113595992</v>
      </c>
      <c r="AE18" s="26" t="n">
        <f aca="false">Calculations!AE12</f>
        <v>1869.67309052152</v>
      </c>
      <c r="AF18" s="26" t="n">
        <f aca="false">Calculations!AF12</f>
        <v>1963.88616690066</v>
      </c>
      <c r="AG18" s="26" t="n">
        <f aca="false">Calculations!AG12</f>
        <v>2058.33072022464</v>
      </c>
      <c r="AH18" s="26" t="n">
        <f aca="false">Calculations!AH12</f>
        <v>2152.99749141565</v>
      </c>
      <c r="AI18" s="26" t="n">
        <f aca="false">Calculations!AI12</f>
        <v>2247.87759175902</v>
      </c>
      <c r="AJ18" s="26" t="n">
        <f aca="false">Calculations!AJ12</f>
        <v>2342.96248808866</v>
      </c>
      <c r="AK18" s="26" t="n">
        <f aca="false">Calculations!AK12</f>
        <v>2438.24398856512</v>
      </c>
      <c r="AL18" s="26" t="n">
        <f aca="false">Calculations!AL12</f>
        <v>2533.71422902251</v>
      </c>
      <c r="AM18" s="26" t="n">
        <f aca="false">Calculations!AM12</f>
        <v>2629.36565986161</v>
      </c>
      <c r="AN18" s="26" t="n">
        <f aca="false">Calculations!AN12</f>
        <v>2725.19103346715</v>
      </c>
      <c r="AO18" s="26" t="n">
        <f aca="false">Calculations!AO12</f>
        <v>2821.18339212846</v>
      </c>
    </row>
    <row r="19" customFormat="false" ht="15" hidden="false" customHeight="false" outlineLevel="0" collapsed="false">
      <c r="A19" s="2" t="s">
        <v>230</v>
      </c>
      <c r="B19" s="2" t="s">
        <v>231</v>
      </c>
      <c r="C19" s="2" t="s">
        <v>196</v>
      </c>
      <c r="D19" s="2" t="s">
        <v>232</v>
      </c>
      <c r="E19" s="2" t="s">
        <v>234</v>
      </c>
      <c r="F19" s="2" t="s">
        <v>554</v>
      </c>
      <c r="G19" s="2" t="s">
        <v>556</v>
      </c>
      <c r="J19" s="28" t="n">
        <f aca="false">Calculations!J14</f>
        <v>1</v>
      </c>
      <c r="K19" s="28" t="n">
        <f aca="false">Calculations!K14</f>
        <v>1.00741707177773</v>
      </c>
      <c r="L19" s="28" t="n">
        <f aca="false">Calculations!L14</f>
        <v>1.01488915650922</v>
      </c>
      <c r="M19" s="28" t="n">
        <f aca="false">Calculations!M14</f>
        <v>1.02241666222949</v>
      </c>
      <c r="N19" s="28" t="n">
        <f aca="false">Calculations!N14</f>
        <v>1.03</v>
      </c>
      <c r="O19" s="28" t="n">
        <f aca="false">Calculations!O14</f>
        <v>1.03763958393106</v>
      </c>
      <c r="P19" s="28" t="n">
        <f aca="false">Calculations!P14</f>
        <v>1.0453358312045</v>
      </c>
      <c r="Q19" s="28" t="n">
        <f aca="false">Calculations!Q14</f>
        <v>1.05308916209638</v>
      </c>
      <c r="R19" s="28" t="n">
        <f aca="false">Calculations!R14</f>
        <v>1.0609</v>
      </c>
      <c r="S19" s="28" t="n">
        <f aca="false">Calculations!S14</f>
        <v>1.068768771449</v>
      </c>
      <c r="T19" s="28" t="n">
        <f aca="false">Calculations!T14</f>
        <v>1.07669590614063</v>
      </c>
      <c r="U19" s="28" t="n">
        <f aca="false">Calculations!U14</f>
        <v>1.08468183695927</v>
      </c>
      <c r="V19" s="28" t="n">
        <f aca="false">Calculations!V14</f>
        <v>1.092727</v>
      </c>
      <c r="W19" s="28" t="n">
        <f aca="false">Calculations!W14</f>
        <v>1.10083183459247</v>
      </c>
      <c r="X19" s="28" t="n">
        <f aca="false">Calculations!X14</f>
        <v>1.10899678332485</v>
      </c>
      <c r="Y19" s="28" t="n">
        <f aca="false">Calculations!Y14</f>
        <v>1.11722229206805</v>
      </c>
      <c r="Z19" s="28" t="n">
        <f aca="false">Calculations!Z14</f>
        <v>1.12550881</v>
      </c>
      <c r="AA19" s="28" t="n">
        <f aca="false">Calculations!AA14</f>
        <v>1.13385678963024</v>
      </c>
      <c r="AB19" s="28" t="n">
        <f aca="false">Calculations!AB14</f>
        <v>1.1422666868246</v>
      </c>
      <c r="AC19" s="28" t="n">
        <f aca="false">Calculations!AC14</f>
        <v>1.15073896083009</v>
      </c>
      <c r="AD19" s="28" t="n">
        <f aca="false">Calculations!AD14</f>
        <v>1.1592740743</v>
      </c>
      <c r="AE19" s="28" t="n">
        <f aca="false">Calculations!AE14</f>
        <v>1.16787249331915</v>
      </c>
      <c r="AF19" s="28" t="n">
        <f aca="false">Calculations!AF14</f>
        <v>1.17653468742933</v>
      </c>
      <c r="AG19" s="28" t="n">
        <f aca="false">Calculations!AG14</f>
        <v>1.18526112965499</v>
      </c>
      <c r="AH19" s="28" t="n">
        <f aca="false">Calculations!AH14</f>
        <v>1.194052296529</v>
      </c>
      <c r="AI19" s="28" t="n">
        <f aca="false">Calculations!AI14</f>
        <v>1.20290866811872</v>
      </c>
      <c r="AJ19" s="28" t="n">
        <f aca="false">Calculations!AJ14</f>
        <v>1.21183072805221</v>
      </c>
      <c r="AK19" s="28" t="n">
        <f aca="false">Calculations!AK14</f>
        <v>1.22081896354464</v>
      </c>
      <c r="AL19" s="28" t="n">
        <f aca="false">Calculations!AL14</f>
        <v>1.22987386542487</v>
      </c>
      <c r="AM19" s="28" t="n">
        <f aca="false">Calculations!AM14</f>
        <v>1.23899592816228</v>
      </c>
      <c r="AN19" s="28" t="n">
        <f aca="false">Calculations!AN14</f>
        <v>1.24818564989378</v>
      </c>
      <c r="AO19" s="28" t="n">
        <f aca="false">Calculations!AO14</f>
        <v>1.25744353245098</v>
      </c>
    </row>
    <row r="20" customFormat="false" ht="15" hidden="false" customHeight="false" outlineLevel="0" collapsed="false">
      <c r="A20" s="2" t="s">
        <v>265</v>
      </c>
      <c r="B20" s="2" t="s">
        <v>91</v>
      </c>
      <c r="C20" s="2" t="s">
        <v>54</v>
      </c>
      <c r="D20" s="2" t="s">
        <v>55</v>
      </c>
      <c r="E20" s="2" t="s">
        <v>267</v>
      </c>
      <c r="F20" s="2" t="s">
        <v>554</v>
      </c>
      <c r="G20" s="2" t="s">
        <v>556</v>
      </c>
      <c r="J20" s="25" t="n">
        <f aca="false">Calculations!J22</f>
        <v>383160</v>
      </c>
      <c r="K20" s="25" t="n">
        <f aca="false">Calculations!K22</f>
        <v>409949.283854449</v>
      </c>
      <c r="L20" s="25" t="n">
        <f aca="false">Calculations!L22</f>
        <v>442037.067206421</v>
      </c>
      <c r="M20" s="25" t="n">
        <f aca="false">Calculations!M22</f>
        <v>479284.067869766</v>
      </c>
      <c r="N20" s="25" t="n">
        <f aca="false">Calculations!N22</f>
        <v>522029.445830016</v>
      </c>
      <c r="O20" s="25" t="n">
        <f aca="false">Calculations!O22</f>
        <v>569657.55469249</v>
      </c>
      <c r="P20" s="25" t="n">
        <f aca="false">Calculations!P22</f>
        <v>622046.434697731</v>
      </c>
      <c r="Q20" s="25" t="n">
        <f aca="false">Calculations!Q22</f>
        <v>679557.826264422</v>
      </c>
      <c r="R20" s="25" t="n">
        <f aca="false">Calculations!R22</f>
        <v>741586.132257985</v>
      </c>
      <c r="S20" s="25" t="n">
        <f aca="false">Calculations!S22</f>
        <v>808024.902338426</v>
      </c>
      <c r="T20" s="25" t="n">
        <f aca="false">Calculations!T22</f>
        <v>879256.845308908</v>
      </c>
      <c r="U20" s="25" t="n">
        <f aca="false">Calculations!U22</f>
        <v>954684.600274805</v>
      </c>
      <c r="V20" s="25" t="n">
        <f aca="false">Calculations!V22</f>
        <v>1034215.61259438</v>
      </c>
      <c r="W20" s="25" t="n">
        <f aca="false">Calculations!W22</f>
        <v>1118252.14208709</v>
      </c>
      <c r="X20" s="25" t="n">
        <f aca="false">Calculations!X22</f>
        <v>1206203.4324917</v>
      </c>
      <c r="Y20" s="25" t="n">
        <f aca="false">Calculations!Y22</f>
        <v>1297989.38859797</v>
      </c>
      <c r="Z20" s="25" t="n">
        <f aca="false">Calculations!Z22</f>
        <v>1394030.577625</v>
      </c>
      <c r="AA20" s="25" t="n">
        <f aca="false">Calculations!AA22</f>
        <v>1492743.11052992</v>
      </c>
      <c r="AB20" s="25" t="n">
        <f aca="false">Calculations!AB22</f>
        <v>1592581.4743858</v>
      </c>
      <c r="AC20" s="25" t="n">
        <f aca="false">Calculations!AC22</f>
        <v>1693547.11020673</v>
      </c>
      <c r="AD20" s="25" t="n">
        <f aca="false">Calculations!AD22</f>
        <v>1795641.8653211</v>
      </c>
      <c r="AE20" s="25" t="n">
        <f aca="false">Calculations!AE22</f>
        <v>1898867.98271777</v>
      </c>
      <c r="AF20" s="25" t="n">
        <f aca="false">Calculations!AF22</f>
        <v>2003228.09083412</v>
      </c>
      <c r="AG20" s="25" t="n">
        <f aca="false">Calculations!AG22</f>
        <v>2108725.19376943</v>
      </c>
      <c r="AH20" s="25" t="n">
        <f aca="false">Calculations!AH22</f>
        <v>2215362.66190805</v>
      </c>
      <c r="AI20" s="25" t="n">
        <f aca="false">Calculations!AI22</f>
        <v>2323144.22293714</v>
      </c>
      <c r="AJ20" s="25" t="n">
        <f aca="false">Calculations!AJ22</f>
        <v>2432073.95324439</v>
      </c>
      <c r="AK20" s="25" t="n">
        <f aca="false">Calculations!AK22</f>
        <v>2542156.26968175</v>
      </c>
      <c r="AL20" s="25" t="n">
        <f aca="false">Calculations!AL22</f>
        <v>2653395.92168171</v>
      </c>
      <c r="AM20" s="25" t="n">
        <f aca="false">Calculations!AM22</f>
        <v>2765797.98371319</v>
      </c>
      <c r="AN20" s="25" t="n">
        <f aca="false">Calculations!AN22</f>
        <v>2879367.84806458</v>
      </c>
      <c r="AO20" s="25" t="n">
        <f aca="false">Calculations!AO22</f>
        <v>2994111.21794188</v>
      </c>
    </row>
    <row r="21" customFormat="false" ht="15" hidden="false" customHeight="false" outlineLevel="0" collapsed="false">
      <c r="A21" s="2" t="s">
        <v>302</v>
      </c>
      <c r="B21" s="2" t="s">
        <v>100</v>
      </c>
      <c r="C21" s="2" t="s">
        <v>54</v>
      </c>
      <c r="D21" s="2" t="s">
        <v>55</v>
      </c>
      <c r="E21" s="2" t="s">
        <v>304</v>
      </c>
      <c r="F21" s="2" t="s">
        <v>554</v>
      </c>
      <c r="G21" s="2" t="s">
        <v>556</v>
      </c>
      <c r="J21" s="25" t="n">
        <f aca="false">Calculations!J31</f>
        <v>2810000</v>
      </c>
      <c r="K21" s="25" t="n">
        <f aca="false">Calculations!K31</f>
        <v>2980000</v>
      </c>
      <c r="L21" s="25" t="n">
        <f aca="false">Calculations!L31</f>
        <v>3195375</v>
      </c>
      <c r="M21" s="25" t="n">
        <f aca="false">Calculations!M31</f>
        <v>3466134.375</v>
      </c>
      <c r="N21" s="25" t="n">
        <f aca="false">Calculations!N31</f>
        <v>3817287.734375</v>
      </c>
      <c r="O21" s="25" t="n">
        <f aca="false">Calculations!O31</f>
        <v>4088844.92773437</v>
      </c>
      <c r="P21" s="25" t="n">
        <f aca="false">Calculations!P31</f>
        <v>4360816.05092773</v>
      </c>
      <c r="Q21" s="25" t="n">
        <f aca="false">Calculations!Q31</f>
        <v>4633211.45220093</v>
      </c>
      <c r="R21" s="25" t="n">
        <f aca="false">Calculations!R31</f>
        <v>6486041.73850595</v>
      </c>
      <c r="S21" s="25" t="n">
        <f aca="false">Calculations!S31</f>
        <v>6759317.7819686</v>
      </c>
      <c r="T21" s="25" t="n">
        <f aca="false">Calculations!T31</f>
        <v>7033050.72651781</v>
      </c>
      <c r="U21" s="25" t="n">
        <f aca="false">Calculations!U31</f>
        <v>7307251.99468076</v>
      </c>
      <c r="V21" s="25" t="n">
        <f aca="false">Calculations!V31</f>
        <v>6106933.29454778</v>
      </c>
      <c r="W21" s="25" t="n">
        <f aca="false">Calculations!W31</f>
        <v>6327106.62691147</v>
      </c>
      <c r="X21" s="25" t="n">
        <f aca="false">Calculations!X31</f>
        <v>6547784.29258426</v>
      </c>
      <c r="Y21" s="25" t="n">
        <f aca="false">Calculations!Y31</f>
        <v>6768978.89989887</v>
      </c>
      <c r="Z21" s="25" t="n">
        <f aca="false">Calculations!Z31</f>
        <v>7070703.37239634</v>
      </c>
      <c r="AA21" s="25" t="n">
        <f aca="false">Calculations!AA31</f>
        <v>7207970.95670625</v>
      </c>
      <c r="AB21" s="25" t="n">
        <f aca="false">Calculations!AB31</f>
        <v>7390795.2306239</v>
      </c>
      <c r="AC21" s="25" t="n">
        <f aca="false">Calculations!AC31</f>
        <v>7529190.1113895</v>
      </c>
      <c r="AD21" s="25" t="n">
        <f aca="false">Calculations!AD31</f>
        <v>7753169.86417424</v>
      </c>
      <c r="AE21" s="25" t="n">
        <f aca="false">Calculations!AE31</f>
        <v>7892749.11077859</v>
      </c>
      <c r="AF21" s="25" t="n">
        <f aca="false">Calculations!AF31</f>
        <v>8077942.83854806</v>
      </c>
      <c r="AG21" s="25" t="n">
        <f aca="false">Calculations!AG31</f>
        <v>8218766.40951176</v>
      </c>
      <c r="AH21" s="25" t="n">
        <f aca="false">Calculations!AH31</f>
        <v>8445235.56974955</v>
      </c>
      <c r="AI21" s="25" t="n">
        <f aca="false">Calculations!AI31</f>
        <v>8587366.45899329</v>
      </c>
      <c r="AJ21" s="25" t="n">
        <f aca="false">Calculations!AJ31</f>
        <v>8775175.62046812</v>
      </c>
      <c r="AK21" s="25" t="n">
        <f aca="false">Calculations!AK31</f>
        <v>8918680.01097983</v>
      </c>
      <c r="AL21" s="25" t="n">
        <f aca="false">Calculations!AL31</f>
        <v>9147897.01125432</v>
      </c>
      <c r="AM21" s="25" t="n">
        <f aca="false">Calculations!AM31</f>
        <v>9292844.43653568</v>
      </c>
      <c r="AN21" s="25" t="n">
        <f aca="false">Calculations!AN31</f>
        <v>9483540.54744907</v>
      </c>
      <c r="AO21" s="25" t="n">
        <f aca="false">Calculations!AO31</f>
        <v>9630004.0611353</v>
      </c>
    </row>
    <row r="22" customFormat="false" ht="15" hidden="false" customHeight="false" outlineLevel="0" collapsed="false">
      <c r="A22" s="2" t="s">
        <v>319</v>
      </c>
      <c r="B22" s="2" t="s">
        <v>320</v>
      </c>
      <c r="C22" s="2" t="s">
        <v>54</v>
      </c>
      <c r="D22" s="2" t="s">
        <v>55</v>
      </c>
      <c r="E22" s="2" t="s">
        <v>322</v>
      </c>
      <c r="F22" s="2" t="s">
        <v>554</v>
      </c>
      <c r="G22" s="2" t="s">
        <v>556</v>
      </c>
      <c r="J22" s="25" t="n">
        <f aca="false">Calculations!J36</f>
        <v>36423.3333333333</v>
      </c>
      <c r="K22" s="25" t="n">
        <f aca="false">Calculations!K36</f>
        <v>73073.7384880556</v>
      </c>
      <c r="L22" s="25" t="n">
        <f aca="false">Calculations!L36</f>
        <v>109995.663045013</v>
      </c>
      <c r="M22" s="25" t="n">
        <f aca="false">Calculations!M36</f>
        <v>147232.845178784</v>
      </c>
      <c r="N22" s="25" t="n">
        <f aca="false">Calculations!N36</f>
        <v>172332.207782229</v>
      </c>
      <c r="O22" s="25" t="n">
        <f aca="false">Calculations!O36</f>
        <v>197836.065783924</v>
      </c>
      <c r="P22" s="25" t="n">
        <f aca="false">Calculations!P36</f>
        <v>223786.120184075</v>
      </c>
      <c r="Q22" s="25" t="n">
        <f aca="false">Calculations!Q36</f>
        <v>250227.435873238</v>
      </c>
      <c r="R22" s="25" t="n">
        <f aca="false">Calculations!R36</f>
        <v>331367.13745019</v>
      </c>
      <c r="S22" s="25" t="n">
        <f aca="false">Calculations!S36</f>
        <v>413078.489425398</v>
      </c>
      <c r="T22" s="25" t="n">
        <f aca="false">Calculations!T36</f>
        <v>495404.959954893</v>
      </c>
      <c r="U22" s="25" t="n">
        <f aca="false">Calculations!U36</f>
        <v>578385.401498182</v>
      </c>
      <c r="V22" s="25" t="n">
        <f aca="false">Calculations!V36</f>
        <v>575634.886110091</v>
      </c>
      <c r="W22" s="25" t="n">
        <f aca="false">Calculations!W36</f>
        <v>573391.785506279</v>
      </c>
      <c r="X22" s="25" t="n">
        <f aca="false">Calculations!X36</f>
        <v>571649.128848903</v>
      </c>
      <c r="Y22" s="25" t="n">
        <f aca="false">Calculations!Y36</f>
        <v>570400.280566464</v>
      </c>
      <c r="Z22" s="25" t="n">
        <f aca="false">Calculations!Z36</f>
        <v>582139.288527518</v>
      </c>
      <c r="AA22" s="25" t="n">
        <f aca="false">Calculations!AA36</f>
        <v>594351.645032593</v>
      </c>
      <c r="AB22" s="25" t="n">
        <f aca="false">Calculations!AB36</f>
        <v>607010.451974782</v>
      </c>
      <c r="AC22" s="25" t="n">
        <f aca="false">Calculations!AC36</f>
        <v>620085.538685975</v>
      </c>
      <c r="AD22" s="25" t="n">
        <f aca="false">Calculations!AD36</f>
        <v>579384.769288699</v>
      </c>
      <c r="AE22" s="25" t="n">
        <f aca="false">Calculations!AE36</f>
        <v>539049.965617884</v>
      </c>
      <c r="AF22" s="25" t="n">
        <f aca="false">Calculations!AF36</f>
        <v>499052.846569799</v>
      </c>
      <c r="AG22" s="25" t="n">
        <f aca="false">Calculations!AG36</f>
        <v>459369.850486437</v>
      </c>
      <c r="AH22" s="25" t="n">
        <f aca="false">Calculations!AH36</f>
        <v>469977.96953404</v>
      </c>
      <c r="AI22" s="25" t="n">
        <f aca="false">Calculations!AI36</f>
        <v>480850.600783106</v>
      </c>
      <c r="AJ22" s="25" t="n">
        <f aca="false">Calculations!AJ36</f>
        <v>491965.887416571</v>
      </c>
      <c r="AK22" s="25" t="n">
        <f aca="false">Calculations!AK36</f>
        <v>503302.462307656</v>
      </c>
      <c r="AL22" s="25" t="n">
        <f aca="false">Calculations!AL36</f>
        <v>514835.208588632</v>
      </c>
      <c r="AM22" s="25" t="n">
        <f aca="false">Calculations!AM36</f>
        <v>526552.294178498</v>
      </c>
      <c r="AN22" s="25" t="n">
        <f aca="false">Calculations!AN36</f>
        <v>538455.015395106</v>
      </c>
      <c r="AO22" s="25" t="n">
        <f aca="false">Calculations!AO36</f>
        <v>550544.704071924</v>
      </c>
    </row>
    <row r="23" customFormat="false" ht="15" hidden="false" customHeight="false" outlineLevel="0" collapsed="false">
      <c r="A23" s="2" t="s">
        <v>341</v>
      </c>
      <c r="B23" s="2" t="s">
        <v>342</v>
      </c>
      <c r="C23" s="2" t="s">
        <v>54</v>
      </c>
      <c r="D23" s="2" t="s">
        <v>55</v>
      </c>
      <c r="E23" s="2" t="s">
        <v>344</v>
      </c>
      <c r="F23" s="2" t="s">
        <v>554</v>
      </c>
      <c r="G23" s="2" t="s">
        <v>556</v>
      </c>
      <c r="J23" s="25" t="n">
        <f aca="false">Calculations!J41</f>
        <v>0</v>
      </c>
      <c r="K23" s="25" t="n">
        <f aca="false">Calculations!K41</f>
        <v>0</v>
      </c>
      <c r="L23" s="25" t="n">
        <f aca="false">Calculations!L41</f>
        <v>0</v>
      </c>
      <c r="M23" s="25" t="n">
        <f aca="false">Calculations!M41</f>
        <v>0</v>
      </c>
      <c r="N23" s="25" t="n">
        <f aca="false">Calculations!N41</f>
        <v>0</v>
      </c>
      <c r="O23" s="25" t="n">
        <f aca="false">Calculations!O41</f>
        <v>0</v>
      </c>
      <c r="P23" s="25" t="n">
        <f aca="false">Calculations!P41</f>
        <v>0</v>
      </c>
      <c r="Q23" s="25" t="n">
        <f aca="false">Calculations!Q41</f>
        <v>0</v>
      </c>
      <c r="R23" s="25" t="n">
        <f aca="false">Calculations!R41</f>
        <v>0</v>
      </c>
      <c r="S23" s="25" t="n">
        <f aca="false">Calculations!S41</f>
        <v>0</v>
      </c>
      <c r="T23" s="25" t="n">
        <f aca="false">Calculations!T41</f>
        <v>0</v>
      </c>
      <c r="U23" s="25" t="n">
        <f aca="false">Calculations!U41</f>
        <v>0</v>
      </c>
      <c r="V23" s="25" t="n">
        <f aca="false">Calculations!V41</f>
        <v>0</v>
      </c>
      <c r="W23" s="25" t="n">
        <f aca="false">Calculations!W41</f>
        <v>0</v>
      </c>
      <c r="X23" s="25" t="n">
        <f aca="false">Calculations!X41</f>
        <v>0</v>
      </c>
      <c r="Y23" s="25" t="n">
        <f aca="false">Calculations!Y41</f>
        <v>0</v>
      </c>
      <c r="Z23" s="25" t="n">
        <f aca="false">Calculations!Z41</f>
        <v>0</v>
      </c>
      <c r="AA23" s="25" t="n">
        <f aca="false">Calculations!AA41</f>
        <v>0</v>
      </c>
      <c r="AB23" s="25" t="n">
        <f aca="false">Calculations!AB41</f>
        <v>0</v>
      </c>
      <c r="AC23" s="25" t="n">
        <f aca="false">Calculations!AC41</f>
        <v>0</v>
      </c>
      <c r="AD23" s="25" t="n">
        <f aca="false">Calculations!AD41</f>
        <v>0</v>
      </c>
      <c r="AE23" s="25" t="n">
        <f aca="false">Calculations!AE41</f>
        <v>0</v>
      </c>
      <c r="AF23" s="25" t="n">
        <f aca="false">Calculations!AF41</f>
        <v>0</v>
      </c>
      <c r="AG23" s="25" t="n">
        <f aca="false">Calculations!AG41</f>
        <v>0</v>
      </c>
      <c r="AH23" s="25" t="n">
        <f aca="false">Calculations!AH41</f>
        <v>351913.720123819</v>
      </c>
      <c r="AI23" s="25" t="n">
        <f aca="false">Calculations!AI41</f>
        <v>1208146.83931676</v>
      </c>
      <c r="AJ23" s="25" t="n">
        <f aca="false">Calculations!AJ41</f>
        <v>1334107.041327</v>
      </c>
      <c r="AK23" s="25" t="n">
        <f aca="false">Calculations!AK41</f>
        <v>1473947.06274121</v>
      </c>
      <c r="AL23" s="25" t="n">
        <f aca="false">Calculations!AL41</f>
        <v>1595191.33371369</v>
      </c>
      <c r="AM23" s="25" t="n">
        <f aca="false">Calculations!AM41</f>
        <v>1740361.34072056</v>
      </c>
      <c r="AN23" s="25" t="n">
        <f aca="false">Calculations!AN41</f>
        <v>1876975.65906215</v>
      </c>
      <c r="AO23" s="25" t="n">
        <f aca="false">Calculations!AO41</f>
        <v>2027553.21964779</v>
      </c>
    </row>
    <row r="24" customFormat="false" ht="15" hidden="false" customHeight="false" outlineLevel="0" collapsed="false">
      <c r="A24" s="2" t="s">
        <v>369</v>
      </c>
      <c r="B24" s="2" t="s">
        <v>370</v>
      </c>
      <c r="C24" s="2" t="s">
        <v>54</v>
      </c>
      <c r="D24" s="2" t="s">
        <v>55</v>
      </c>
      <c r="E24" s="2" t="s">
        <v>372</v>
      </c>
      <c r="F24" s="2" t="s">
        <v>554</v>
      </c>
      <c r="G24" s="2" t="s">
        <v>556</v>
      </c>
      <c r="J24" s="25" t="n">
        <f aca="false">Calculations!J47</f>
        <v>-587362.191780822</v>
      </c>
      <c r="K24" s="25" t="n">
        <f aca="false">Calculations!K47</f>
        <v>-33148.9175064906</v>
      </c>
      <c r="L24" s="25" t="n">
        <f aca="false">Calculations!L47</f>
        <v>-38813.5324711383</v>
      </c>
      <c r="M24" s="25" t="n">
        <f aca="false">Calculations!M47</f>
        <v>-44374.7985649169</v>
      </c>
      <c r="N24" s="25" t="n">
        <f aca="false">Calculations!N47</f>
        <v>-50322.9565316902</v>
      </c>
      <c r="O24" s="25" t="n">
        <f aca="false">Calculations!O47</f>
        <v>-55678.0621698864</v>
      </c>
      <c r="P24" s="25" t="n">
        <f aca="false">Calculations!P47</f>
        <v>-60943.9123716543</v>
      </c>
      <c r="Q24" s="25" t="n">
        <f aca="false">Calculations!Q47</f>
        <v>-66619.6365972045</v>
      </c>
      <c r="R24" s="25" t="n">
        <f aca="false">Calculations!R47</f>
        <v>-71705.9473283023</v>
      </c>
      <c r="S24" s="25" t="n">
        <f aca="false">Calculations!S47</f>
        <v>-76715.8083582968</v>
      </c>
      <c r="T24" s="25" t="n">
        <f aca="false">Calculations!T47</f>
        <v>-82157.4942358579</v>
      </c>
      <c r="U24" s="25" t="n">
        <f aca="false">Calculations!U47</f>
        <v>-87011.9956324676</v>
      </c>
      <c r="V24" s="25" t="n">
        <f aca="false">Calculations!V47</f>
        <v>-91801.7019269366</v>
      </c>
      <c r="W24" s="25" t="n">
        <f aca="false">Calculations!W47</f>
        <v>-97044.2890948257</v>
      </c>
      <c r="X24" s="25" t="n">
        <f aca="false">Calculations!X47</f>
        <v>-101700.633446077</v>
      </c>
      <c r="Y24" s="25" t="n">
        <f aca="false">Calculations!Y47</f>
        <v>-106302.809055181</v>
      </c>
      <c r="Z24" s="25" t="n">
        <f aca="false">Calculations!Z47</f>
        <v>-111378.150229412</v>
      </c>
      <c r="AA24" s="25" t="n">
        <f aca="false">Calculations!AA47</f>
        <v>-114811.904286737</v>
      </c>
      <c r="AB24" s="25" t="n">
        <f aca="false">Calculations!AB47</f>
        <v>-116630.404938541</v>
      </c>
      <c r="AC24" s="25" t="n">
        <f aca="false">Calculations!AC47</f>
        <v>-118461.761645297</v>
      </c>
      <c r="AD24" s="25" t="n">
        <f aca="false">Calculations!AD47</f>
        <v>-120306.493322275</v>
      </c>
      <c r="AE24" s="25" t="n">
        <f aca="false">Calculations!AE47</f>
        <v>-122165.114441964</v>
      </c>
      <c r="AF24" s="25" t="n">
        <f aca="false">Calculations!AF47</f>
        <v>-124038.135422485</v>
      </c>
      <c r="AG24" s="25" t="n">
        <f aca="false">Calculations!AG47</f>
        <v>-125926.063007254</v>
      </c>
      <c r="AH24" s="25" t="n">
        <f aca="false">Calculations!AH47</f>
        <v>-127829.40063616</v>
      </c>
      <c r="AI24" s="25" t="n">
        <f aca="false">Calculations!AI47</f>
        <v>-129748.648808797</v>
      </c>
      <c r="AJ24" s="25" t="n">
        <f aca="false">Calculations!AJ47</f>
        <v>-131684.305440144</v>
      </c>
      <c r="AK24" s="25" t="n">
        <f aca="false">Calculations!AK47</f>
        <v>-133636.866208959</v>
      </c>
      <c r="AL24" s="25" t="n">
        <f aca="false">Calculations!AL47</f>
        <v>-135606.824899463</v>
      </c>
      <c r="AM24" s="25" t="n">
        <f aca="false">Calculations!AM47</f>
        <v>-137594.673736488</v>
      </c>
      <c r="AN24" s="25" t="n">
        <f aca="false">Calculations!AN47</f>
        <v>-139600.903714619</v>
      </c>
      <c r="AO24" s="25" t="n">
        <f aca="false">Calculations!AO47</f>
        <v>-141626.004921523</v>
      </c>
    </row>
    <row r="25" customFormat="false" ht="15" hidden="false" customHeight="false" outlineLevel="0" collapsed="false">
      <c r="A25" s="2" t="s">
        <v>522</v>
      </c>
      <c r="B25" s="2" t="s">
        <v>523</v>
      </c>
      <c r="C25" s="2" t="s">
        <v>60</v>
      </c>
      <c r="D25" s="2" t="s">
        <v>55</v>
      </c>
      <c r="E25" s="2" t="s">
        <v>525</v>
      </c>
      <c r="F25" s="2" t="s">
        <v>554</v>
      </c>
      <c r="G25" s="2" t="s">
        <v>556</v>
      </c>
      <c r="I25" s="25" t="n">
        <f aca="false">Calculations!I80</f>
        <v>51239654.5530028</v>
      </c>
    </row>
    <row r="26" customFormat="false" ht="15" hidden="false" customHeight="false" outlineLevel="0" collapsed="false">
      <c r="A26" s="2" t="s">
        <v>527</v>
      </c>
      <c r="B26" s="2" t="s">
        <v>528</v>
      </c>
      <c r="C26" s="2" t="s">
        <v>74</v>
      </c>
      <c r="D26" s="2" t="s">
        <v>75</v>
      </c>
      <c r="E26" s="2" t="s">
        <v>530</v>
      </c>
      <c r="F26" s="2" t="s">
        <v>554</v>
      </c>
      <c r="G26" s="2" t="s">
        <v>556</v>
      </c>
      <c r="I26" s="27" t="n">
        <f aca="false">Calculations!I81</f>
        <v>0.11284887796792</v>
      </c>
    </row>
    <row r="27" customFormat="false" ht="15" hidden="false" customHeight="false" outlineLevel="0" collapsed="false">
      <c r="A27" s="2" t="s">
        <v>494</v>
      </c>
      <c r="B27" s="2" t="s">
        <v>495</v>
      </c>
      <c r="C27" s="2" t="s">
        <v>60</v>
      </c>
      <c r="D27" s="2" t="s">
        <v>55</v>
      </c>
      <c r="E27" s="2" t="s">
        <v>497</v>
      </c>
      <c r="F27" s="2" t="s">
        <v>554</v>
      </c>
      <c r="G27" s="2" t="s">
        <v>556</v>
      </c>
      <c r="I27" s="25" t="n">
        <f aca="false">Calculations!I74</f>
        <v>178044535.452038</v>
      </c>
    </row>
    <row r="28" customFormat="false" ht="15" hidden="false" customHeight="false" outlineLevel="0" collapsed="false">
      <c r="A28" s="2" t="s">
        <v>392</v>
      </c>
      <c r="B28" s="2" t="s">
        <v>393</v>
      </c>
      <c r="C28" s="2" t="s">
        <v>394</v>
      </c>
      <c r="D28" s="2" t="s">
        <v>395</v>
      </c>
      <c r="E28" s="2" t="s">
        <v>397</v>
      </c>
      <c r="F28" s="2" t="s">
        <v>557</v>
      </c>
      <c r="G28" s="2" t="s">
        <v>556</v>
      </c>
      <c r="J28" s="29" t="b">
        <f aca="false">Calculations!J52</f>
        <v>1</v>
      </c>
      <c r="K28" s="29" t="b">
        <f aca="false">Calculations!K52</f>
        <v>1</v>
      </c>
      <c r="L28" s="29" t="b">
        <f aca="false">Calculations!L52</f>
        <v>1</v>
      </c>
      <c r="M28" s="29" t="b">
        <f aca="false">Calculations!M52</f>
        <v>1</v>
      </c>
      <c r="N28" s="29" t="b">
        <f aca="false">Calculations!N52</f>
        <v>1</v>
      </c>
      <c r="O28" s="29" t="b">
        <f aca="false">Calculations!O52</f>
        <v>1</v>
      </c>
      <c r="P28" s="29" t="b">
        <f aca="false">Calculations!P52</f>
        <v>1</v>
      </c>
      <c r="Q28" s="29" t="b">
        <f aca="false">Calculations!Q52</f>
        <v>1</v>
      </c>
      <c r="R28" s="29" t="b">
        <f aca="false">Calculations!R52</f>
        <v>1</v>
      </c>
      <c r="S28" s="29" t="b">
        <f aca="false">Calculations!S52</f>
        <v>1</v>
      </c>
      <c r="T28" s="29" t="b">
        <f aca="false">Calculations!T52</f>
        <v>1</v>
      </c>
      <c r="U28" s="29" t="b">
        <f aca="false">Calculations!U52</f>
        <v>1</v>
      </c>
      <c r="V28" s="29" t="b">
        <f aca="false">Calculations!V52</f>
        <v>1</v>
      </c>
      <c r="W28" s="29" t="b">
        <f aca="false">Calculations!W52</f>
        <v>1</v>
      </c>
      <c r="X28" s="29" t="b">
        <f aca="false">Calculations!X52</f>
        <v>1</v>
      </c>
      <c r="Y28" s="29" t="b">
        <f aca="false">Calculations!Y52</f>
        <v>1</v>
      </c>
      <c r="Z28" s="29" t="b">
        <f aca="false">Calculations!Z52</f>
        <v>1</v>
      </c>
      <c r="AA28" s="29" t="b">
        <f aca="false">Calculations!AA52</f>
        <v>1</v>
      </c>
      <c r="AB28" s="29" t="b">
        <f aca="false">Calculations!AB52</f>
        <v>1</v>
      </c>
      <c r="AC28" s="29" t="b">
        <f aca="false">Calculations!AC52</f>
        <v>1</v>
      </c>
      <c r="AD28" s="29" t="b">
        <f aca="false">Calculations!AD52</f>
        <v>1</v>
      </c>
      <c r="AE28" s="29" t="b">
        <f aca="false">Calculations!AE52</f>
        <v>1</v>
      </c>
      <c r="AF28" s="29" t="b">
        <f aca="false">Calculations!AF52</f>
        <v>1</v>
      </c>
      <c r="AG28" s="29" t="b">
        <f aca="false">Calculations!AG52</f>
        <v>1</v>
      </c>
      <c r="AH28" s="29" t="b">
        <f aca="false">Calculations!AH52</f>
        <v>1</v>
      </c>
      <c r="AI28" s="29" t="b">
        <f aca="false">Calculations!AI52</f>
        <v>1</v>
      </c>
      <c r="AJ28" s="29" t="b">
        <f aca="false">Calculations!AJ52</f>
        <v>1</v>
      </c>
      <c r="AK28" s="29" t="b">
        <f aca="false">Calculations!AK52</f>
        <v>1</v>
      </c>
      <c r="AL28" s="29" t="b">
        <f aca="false">Calculations!AL52</f>
        <v>1</v>
      </c>
      <c r="AM28" s="29" t="b">
        <f aca="false">Calculations!AM52</f>
        <v>1</v>
      </c>
      <c r="AN28" s="29" t="b">
        <f aca="false">Calculations!AN52</f>
        <v>1</v>
      </c>
      <c r="AO28" s="29" t="b">
        <f aca="false">Calculations!AO52</f>
        <v>1</v>
      </c>
    </row>
    <row r="29" customFormat="false" ht="15" hidden="false" customHeight="false" outlineLevel="0" collapsed="false">
      <c r="A29" s="2" t="s">
        <v>448</v>
      </c>
      <c r="B29" s="2" t="s">
        <v>449</v>
      </c>
      <c r="C29" s="2" t="s">
        <v>394</v>
      </c>
      <c r="D29" s="2" t="s">
        <v>395</v>
      </c>
      <c r="E29" s="2" t="s">
        <v>451</v>
      </c>
      <c r="F29" s="2" t="s">
        <v>557</v>
      </c>
      <c r="G29" s="2" t="s">
        <v>556</v>
      </c>
      <c r="J29" s="29" t="b">
        <f aca="false">Calculations!J63</f>
        <v>0</v>
      </c>
      <c r="K29" s="29" t="b">
        <f aca="false">Calculations!K63</f>
        <v>0</v>
      </c>
      <c r="L29" s="29" t="b">
        <f aca="false">Calculations!L63</f>
        <v>0</v>
      </c>
      <c r="M29" s="29" t="b">
        <f aca="false">Calculations!M63</f>
        <v>0</v>
      </c>
      <c r="N29" s="29" t="b">
        <f aca="false">Calculations!N63</f>
        <v>0</v>
      </c>
      <c r="O29" s="29" t="b">
        <f aca="false">Calculations!O63</f>
        <v>0</v>
      </c>
      <c r="P29" s="29" t="b">
        <f aca="false">Calculations!P63</f>
        <v>0</v>
      </c>
      <c r="Q29" s="29" t="b">
        <f aca="false">Calculations!Q63</f>
        <v>0</v>
      </c>
      <c r="R29" s="29" t="b">
        <f aca="false">Calculations!R63</f>
        <v>0</v>
      </c>
      <c r="S29" s="29" t="b">
        <f aca="false">Calculations!S63</f>
        <v>0</v>
      </c>
      <c r="T29" s="29" t="b">
        <f aca="false">Calculations!T63</f>
        <v>0</v>
      </c>
      <c r="U29" s="29" t="b">
        <f aca="false">Calculations!U63</f>
        <v>0</v>
      </c>
      <c r="V29" s="29" t="b">
        <f aca="false">Calculations!V63</f>
        <v>0</v>
      </c>
      <c r="W29" s="29" t="b">
        <f aca="false">Calculations!W63</f>
        <v>1</v>
      </c>
      <c r="X29" s="29" t="b">
        <f aca="false">Calculations!X63</f>
        <v>1</v>
      </c>
      <c r="Y29" s="29" t="b">
        <f aca="false">Calculations!Y63</f>
        <v>1</v>
      </c>
      <c r="Z29" s="29" t="b">
        <f aca="false">Calculations!Z63</f>
        <v>1</v>
      </c>
      <c r="AA29" s="29" t="b">
        <f aca="false">Calculations!AA63</f>
        <v>1</v>
      </c>
      <c r="AB29" s="29" t="b">
        <f aca="false">Calculations!AB63</f>
        <v>1</v>
      </c>
      <c r="AC29" s="29" t="b">
        <f aca="false">Calculations!AC63</f>
        <v>1</v>
      </c>
      <c r="AD29" s="29" t="b">
        <f aca="false">Calculations!AD63</f>
        <v>1</v>
      </c>
      <c r="AE29" s="29" t="b">
        <f aca="false">Calculations!AE63</f>
        <v>1</v>
      </c>
      <c r="AF29" s="29" t="b">
        <f aca="false">Calculations!AF63</f>
        <v>1</v>
      </c>
      <c r="AG29" s="29" t="b">
        <f aca="false">Calculations!AG63</f>
        <v>1</v>
      </c>
      <c r="AH29" s="29" t="b">
        <f aca="false">Calculations!AH63</f>
        <v>1</v>
      </c>
      <c r="AI29" s="29" t="b">
        <f aca="false">Calculations!AI63</f>
        <v>1</v>
      </c>
      <c r="AJ29" s="29" t="b">
        <f aca="false">Calculations!AJ63</f>
        <v>1</v>
      </c>
      <c r="AK29" s="29" t="b">
        <f aca="false">Calculations!AK63</f>
        <v>1</v>
      </c>
      <c r="AL29" s="29" t="b">
        <f aca="false">Calculations!AL63</f>
        <v>1</v>
      </c>
      <c r="AM29" s="29" t="b">
        <f aca="false">Calculations!AM63</f>
        <v>1</v>
      </c>
      <c r="AN29" s="29" t="b">
        <f aca="false">Calculations!AN63</f>
        <v>1</v>
      </c>
      <c r="AO29" s="29" t="b">
        <f aca="false">Calculations!AO63</f>
        <v>1</v>
      </c>
    </row>
    <row r="30" customFormat="false" ht="15" hidden="false" customHeight="false" outlineLevel="0" collapsed="false">
      <c r="A30" s="2" t="s">
        <v>470</v>
      </c>
      <c r="B30" s="2" t="s">
        <v>471</v>
      </c>
      <c r="C30" s="2" t="s">
        <v>49</v>
      </c>
      <c r="D30" s="2" t="s">
        <v>50</v>
      </c>
      <c r="E30" s="2" t="s">
        <v>473</v>
      </c>
      <c r="F30" s="2" t="s">
        <v>554</v>
      </c>
      <c r="G30" s="2" t="s">
        <v>556</v>
      </c>
      <c r="I30" s="26" t="n">
        <f aca="false">Calculations!I68</f>
        <v>4272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16" min="9" style="0" width="15"/>
  </cols>
  <sheetData>
    <row r="1" customFormat="false" ht="15" hidden="false" customHeight="false" outlineLevel="0" collapsed="false">
      <c r="A1" s="3" t="s">
        <v>19</v>
      </c>
      <c r="B1" s="3" t="s">
        <v>39</v>
      </c>
      <c r="C1" s="3" t="s">
        <v>41</v>
      </c>
      <c r="D1" s="3" t="s">
        <v>42</v>
      </c>
      <c r="E1" s="3" t="s">
        <v>45</v>
      </c>
      <c r="F1" s="3" t="s">
        <v>552</v>
      </c>
      <c r="G1" s="3" t="s">
        <v>553</v>
      </c>
      <c r="H1" s="3"/>
      <c r="I1" s="24" t="n">
        <f aca="false">Annual!I1</f>
        <v>2027</v>
      </c>
      <c r="J1" s="24" t="n">
        <f aca="false">Annual!J1</f>
        <v>2028</v>
      </c>
      <c r="K1" s="24" t="n">
        <f aca="false">Annual!K1</f>
        <v>2029</v>
      </c>
      <c r="L1" s="24" t="n">
        <f aca="false">Annual!L1</f>
        <v>2030</v>
      </c>
      <c r="M1" s="24" t="n">
        <f aca="false">Annual!M1</f>
        <v>2031</v>
      </c>
      <c r="N1" s="24" t="n">
        <f aca="false">Annual!N1</f>
        <v>2032</v>
      </c>
      <c r="O1" s="24" t="n">
        <f aca="false">Annual!O1</f>
        <v>2033</v>
      </c>
      <c r="P1" s="24" t="n">
        <f aca="false">Annual!P1</f>
        <v>2034</v>
      </c>
    </row>
    <row r="3" customFormat="false" ht="15" hidden="false" customHeight="false" outlineLevel="0" collapsed="false">
      <c r="A3" s="2" t="s">
        <v>536</v>
      </c>
      <c r="B3" s="2" t="s">
        <v>242</v>
      </c>
      <c r="C3" s="2" t="s">
        <v>537</v>
      </c>
      <c r="D3" s="2" t="s">
        <v>55</v>
      </c>
      <c r="E3" s="2" t="s">
        <v>539</v>
      </c>
      <c r="F3" s="2" t="s">
        <v>554</v>
      </c>
      <c r="G3" s="2" t="s">
        <v>556</v>
      </c>
      <c r="I3" s="25" t="n">
        <f aca="false">Annual!I3</f>
        <v>11119609.4763604</v>
      </c>
      <c r="J3" s="25" t="n">
        <f aca="false">Annual!J3</f>
        <v>15729005.8888968</v>
      </c>
      <c r="K3" s="25" t="n">
        <f aca="false">Annual!K3</f>
        <v>22526372.499955</v>
      </c>
      <c r="L3" s="25" t="n">
        <f aca="false">Annual!L3</f>
        <v>31398179.3976528</v>
      </c>
      <c r="M3" s="25" t="n">
        <f aca="false">Annual!M3</f>
        <v>42143879.0511725</v>
      </c>
      <c r="N3" s="25" t="n">
        <f aca="false">Annual!N3</f>
        <v>53953821.9403246</v>
      </c>
      <c r="O3" s="25" t="n">
        <f aca="false">Annual!O3</f>
        <v>66544268.8546279</v>
      </c>
      <c r="P3" s="25" t="n">
        <f aca="false">Annual!P3</f>
        <v>79937672.4625866</v>
      </c>
    </row>
    <row r="4" customFormat="false" ht="15" hidden="false" customHeight="false" outlineLevel="0" collapsed="false">
      <c r="A4" s="2" t="s">
        <v>541</v>
      </c>
      <c r="B4" s="2" t="s">
        <v>306</v>
      </c>
      <c r="C4" s="2" t="s">
        <v>537</v>
      </c>
      <c r="D4" s="2" t="s">
        <v>55</v>
      </c>
      <c r="E4" s="2" t="s">
        <v>543</v>
      </c>
      <c r="F4" s="2" t="s">
        <v>554</v>
      </c>
      <c r="G4" s="2" t="s">
        <v>556</v>
      </c>
      <c r="I4" s="25" t="n">
        <f aca="false">Annual!I4</f>
        <v>-3046330.31757021</v>
      </c>
      <c r="J4" s="25" t="n">
        <f aca="false">Annual!J4</f>
        <v>-3564445.53782592</v>
      </c>
      <c r="K4" s="25" t="n">
        <f aca="false">Annual!K4</f>
        <v>-8442842.22189823</v>
      </c>
      <c r="L4" s="25" t="n">
        <f aca="false">Annual!L4</f>
        <v>990715.707939305</v>
      </c>
      <c r="M4" s="25" t="n">
        <f aca="false">Annual!M4</f>
        <v>6772317.10730901</v>
      </c>
      <c r="N4" s="25" t="n">
        <f aca="false">Annual!N4</f>
        <v>14204730.5846695</v>
      </c>
      <c r="O4" s="25" t="n">
        <f aca="false">Annual!O4</f>
        <v>22305074.0866658</v>
      </c>
      <c r="P4" s="25" t="n">
        <f aca="false">Annual!P4</f>
        <v>31090713.4348109</v>
      </c>
    </row>
    <row r="5" customFormat="false" ht="15" hidden="false" customHeight="false" outlineLevel="0" collapsed="false">
      <c r="A5" s="2" t="s">
        <v>544</v>
      </c>
      <c r="B5" s="2" t="s">
        <v>545</v>
      </c>
      <c r="C5" s="2" t="s">
        <v>537</v>
      </c>
      <c r="D5" s="2" t="s">
        <v>55</v>
      </c>
      <c r="E5" s="2" t="s">
        <v>547</v>
      </c>
      <c r="F5" s="2" t="s">
        <v>554</v>
      </c>
      <c r="G5" s="2" t="s">
        <v>556</v>
      </c>
      <c r="I5" s="25" t="n">
        <f aca="false">Annual!I5</f>
        <v>-4109425.01939225</v>
      </c>
      <c r="J5" s="25" t="n">
        <f aca="false">Annual!J5</f>
        <v>-4566816.05848894</v>
      </c>
      <c r="K5" s="25" t="n">
        <f aca="false">Annual!K5</f>
        <v>-12063146.5638426</v>
      </c>
      <c r="L5" s="25" t="n">
        <f aca="false">Annual!L5</f>
        <v>-283407.549502466</v>
      </c>
      <c r="M5" s="25" t="n">
        <f aca="false">Annual!M5</f>
        <v>5401441.14264141</v>
      </c>
      <c r="N5" s="25" t="n">
        <f aca="false">Annual!N5</f>
        <v>12687859.0617586</v>
      </c>
      <c r="O5" s="25" t="n">
        <f aca="false">Annual!O5</f>
        <v>16261694.6114316</v>
      </c>
      <c r="P5" s="25" t="n">
        <f aca="false">Annual!P5</f>
        <v>22005995.202</v>
      </c>
    </row>
    <row r="6" customFormat="false" ht="15" hidden="false" customHeight="false" outlineLevel="0" collapsed="false">
      <c r="A6" s="2" t="s">
        <v>548</v>
      </c>
      <c r="B6" s="2" t="s">
        <v>190</v>
      </c>
      <c r="C6" s="2" t="s">
        <v>549</v>
      </c>
      <c r="D6" s="2" t="s">
        <v>50</v>
      </c>
      <c r="E6" s="2" t="s">
        <v>551</v>
      </c>
      <c r="F6" s="2" t="s">
        <v>554</v>
      </c>
      <c r="G6" s="2" t="s">
        <v>556</v>
      </c>
      <c r="I6" s="26" t="n">
        <f aca="false">Annual!I6</f>
        <v>200</v>
      </c>
      <c r="J6" s="26" t="n">
        <f aca="false">Annual!J6</f>
        <v>307</v>
      </c>
      <c r="K6" s="26" t="n">
        <f aca="false">Annual!K6</f>
        <v>413</v>
      </c>
      <c r="L6" s="26" t="n">
        <f aca="false">Annual!L6</f>
        <v>520</v>
      </c>
      <c r="M6" s="26" t="n">
        <f aca="false">Annual!M6</f>
        <v>612</v>
      </c>
      <c r="N6" s="26" t="n">
        <f aca="false">Annual!N6</f>
        <v>676</v>
      </c>
      <c r="O6" s="26" t="n">
        <f aca="false">Annual!O6</f>
        <v>740</v>
      </c>
      <c r="P6" s="26" t="n">
        <f aca="false">Annual!P6</f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8" min="6" style="0" width="2"/>
    <col collapsed="false" customWidth="true" hidden="false" outlineLevel="0" max="9" min="9" style="0" width="16"/>
    <col collapsed="false" customWidth="true" hidden="false" outlineLevel="0" max="41" min="10" style="0" width="13"/>
  </cols>
  <sheetData>
    <row r="1" customFormat="false" ht="15" hidden="false" customHeight="false" outlineLevel="0" collapsed="false">
      <c r="A1" s="3" t="s">
        <v>558</v>
      </c>
      <c r="B1" s="3" t="s">
        <v>19</v>
      </c>
      <c r="C1" s="3" t="s">
        <v>39</v>
      </c>
      <c r="D1" s="3" t="s">
        <v>559</v>
      </c>
      <c r="E1" s="3" t="s">
        <v>45</v>
      </c>
      <c r="F1" s="3"/>
      <c r="G1" s="3"/>
      <c r="H1" s="3"/>
      <c r="I1" s="3" t="s">
        <v>174</v>
      </c>
      <c r="J1" s="15" t="n">
        <v>1</v>
      </c>
      <c r="K1" s="15" t="n">
        <v>2</v>
      </c>
      <c r="L1" s="15" t="n">
        <v>3</v>
      </c>
      <c r="M1" s="15" t="n">
        <v>4</v>
      </c>
      <c r="N1" s="15" t="n">
        <v>5</v>
      </c>
      <c r="O1" s="15" t="n">
        <v>6</v>
      </c>
      <c r="P1" s="15" t="n">
        <v>7</v>
      </c>
      <c r="Q1" s="15" t="n">
        <v>8</v>
      </c>
      <c r="R1" s="15" t="n">
        <v>9</v>
      </c>
      <c r="S1" s="15" t="n">
        <v>10</v>
      </c>
      <c r="T1" s="15" t="n">
        <v>11</v>
      </c>
      <c r="U1" s="15" t="n">
        <v>12</v>
      </c>
      <c r="V1" s="15" t="n">
        <v>13</v>
      </c>
      <c r="W1" s="15" t="n">
        <v>14</v>
      </c>
      <c r="X1" s="15" t="n">
        <v>15</v>
      </c>
      <c r="Y1" s="15" t="n">
        <v>16</v>
      </c>
      <c r="Z1" s="15" t="n">
        <v>17</v>
      </c>
      <c r="AA1" s="15" t="n">
        <v>18</v>
      </c>
      <c r="AB1" s="15" t="n">
        <v>19</v>
      </c>
      <c r="AC1" s="15" t="n">
        <v>20</v>
      </c>
      <c r="AD1" s="15" t="n">
        <v>21</v>
      </c>
      <c r="AE1" s="15" t="n">
        <v>22</v>
      </c>
      <c r="AF1" s="15" t="n">
        <v>23</v>
      </c>
      <c r="AG1" s="15" t="n">
        <v>24</v>
      </c>
      <c r="AH1" s="15" t="n">
        <v>25</v>
      </c>
      <c r="AI1" s="15" t="n">
        <v>26</v>
      </c>
      <c r="AJ1" s="15" t="n">
        <v>27</v>
      </c>
      <c r="AK1" s="15" t="n">
        <v>28</v>
      </c>
      <c r="AL1" s="15" t="n">
        <v>29</v>
      </c>
      <c r="AM1" s="15" t="n">
        <v>30</v>
      </c>
      <c r="AN1" s="15" t="n">
        <v>31</v>
      </c>
      <c r="AO1" s="15" t="n">
        <v>32</v>
      </c>
    </row>
    <row r="2" customFormat="false" ht="15" hidden="false" customHeight="false" outlineLevel="0" collapsed="false">
      <c r="A2" s="10" t="s">
        <v>175</v>
      </c>
      <c r="J2" s="16" t="str">
        <f aca="false">Timeline!J$13</f>
        <v>2027Q1</v>
      </c>
      <c r="K2" s="16" t="str">
        <f aca="false">Timeline!K$13</f>
        <v>2027Q2</v>
      </c>
      <c r="L2" s="16" t="str">
        <f aca="false">Timeline!L$13</f>
        <v>2027Q3</v>
      </c>
      <c r="M2" s="16" t="str">
        <f aca="false">Timeline!M$13</f>
        <v>2027Q4</v>
      </c>
      <c r="N2" s="16" t="str">
        <f aca="false">Timeline!N$13</f>
        <v>2028Q1</v>
      </c>
      <c r="O2" s="16" t="str">
        <f aca="false">Timeline!O$13</f>
        <v>2028Q2</v>
      </c>
      <c r="P2" s="16" t="str">
        <f aca="false">Timeline!P$13</f>
        <v>2028Q3</v>
      </c>
      <c r="Q2" s="16" t="str">
        <f aca="false">Timeline!Q$13</f>
        <v>2028Q4</v>
      </c>
      <c r="R2" s="16" t="str">
        <f aca="false">Timeline!R$13</f>
        <v>2029Q1</v>
      </c>
      <c r="S2" s="16" t="str">
        <f aca="false">Timeline!S$13</f>
        <v>2029Q2</v>
      </c>
      <c r="T2" s="16" t="str">
        <f aca="false">Timeline!T$13</f>
        <v>2029Q3</v>
      </c>
      <c r="U2" s="16" t="str">
        <f aca="false">Timeline!U$13</f>
        <v>2029Q4</v>
      </c>
      <c r="V2" s="16" t="str">
        <f aca="false">Timeline!V$13</f>
        <v>2030Q1</v>
      </c>
      <c r="W2" s="16" t="str">
        <f aca="false">Timeline!W$13</f>
        <v>2030Q2</v>
      </c>
      <c r="X2" s="16" t="str">
        <f aca="false">Timeline!X$13</f>
        <v>2030Q3</v>
      </c>
      <c r="Y2" s="16" t="str">
        <f aca="false">Timeline!Y$13</f>
        <v>2030Q4</v>
      </c>
      <c r="Z2" s="16" t="str">
        <f aca="false">Timeline!Z$13</f>
        <v>2031Q1</v>
      </c>
      <c r="AA2" s="16" t="str">
        <f aca="false">Timeline!AA$13</f>
        <v>2031Q2</v>
      </c>
      <c r="AB2" s="16" t="str">
        <f aca="false">Timeline!AB$13</f>
        <v>2031Q3</v>
      </c>
      <c r="AC2" s="16" t="str">
        <f aca="false">Timeline!AC$13</f>
        <v>2031Q4</v>
      </c>
      <c r="AD2" s="16" t="str">
        <f aca="false">Timeline!AD$13</f>
        <v>2032Q1</v>
      </c>
      <c r="AE2" s="16" t="str">
        <f aca="false">Timeline!AE$13</f>
        <v>2032Q2</v>
      </c>
      <c r="AF2" s="16" t="str">
        <f aca="false">Timeline!AF$13</f>
        <v>2032Q3</v>
      </c>
      <c r="AG2" s="16" t="str">
        <f aca="false">Timeline!AG$13</f>
        <v>2032Q4</v>
      </c>
      <c r="AH2" s="16" t="str">
        <f aca="false">Timeline!AH$13</f>
        <v>2033Q1</v>
      </c>
      <c r="AI2" s="16" t="str">
        <f aca="false">Timeline!AI$13</f>
        <v>2033Q2</v>
      </c>
      <c r="AJ2" s="16" t="str">
        <f aca="false">Timeline!AJ$13</f>
        <v>2033Q3</v>
      </c>
      <c r="AK2" s="16" t="str">
        <f aca="false">Timeline!AK$13</f>
        <v>2033Q4</v>
      </c>
      <c r="AL2" s="16" t="str">
        <f aca="false">Timeline!AL$13</f>
        <v>2034Q1</v>
      </c>
      <c r="AM2" s="16" t="str">
        <f aca="false">Timeline!AM$13</f>
        <v>2034Q2</v>
      </c>
      <c r="AN2" s="16" t="str">
        <f aca="false">Timeline!AN$13</f>
        <v>2034Q3</v>
      </c>
      <c r="AO2" s="16" t="str">
        <f aca="false">Timeline!AO$13</f>
        <v>2034Q4</v>
      </c>
    </row>
    <row r="3" customFormat="false" ht="15" hidden="false" customHeight="false" outlineLevel="0" collapsed="false">
      <c r="A3" s="2" t="n">
        <v>1</v>
      </c>
      <c r="B3" s="2" t="s">
        <v>205</v>
      </c>
      <c r="C3" s="2" t="s">
        <v>206</v>
      </c>
      <c r="D3" s="2" t="s">
        <v>560</v>
      </c>
      <c r="E3" s="2" t="s">
        <v>208</v>
      </c>
      <c r="J3" s="30" t="n">
        <f aca="false">Calculations!J8</f>
        <v>424</v>
      </c>
      <c r="K3" s="30" t="n">
        <f aca="false">Calculations!K8</f>
        <v>454.04</v>
      </c>
      <c r="L3" s="30" t="n">
        <f aca="false">Calculations!L8</f>
        <v>488.8784</v>
      </c>
      <c r="M3" s="30" t="n">
        <f aca="false">Calculations!M8</f>
        <v>529.323264</v>
      </c>
      <c r="N3" s="30" t="n">
        <f aca="false">Calculations!N8</f>
        <v>575.15033344</v>
      </c>
      <c r="O3" s="30" t="n">
        <f aca="false">Calculations!O8</f>
        <v>625.1443201024</v>
      </c>
      <c r="P3" s="30" t="n">
        <f aca="false">Calculations!P8</f>
        <v>680.138547298304</v>
      </c>
      <c r="Q3" s="30" t="n">
        <f aca="false">Calculations!Q8</f>
        <v>739.933005406372</v>
      </c>
      <c r="R3" s="30" t="n">
        <f aca="false">Calculations!R8</f>
        <v>803.335685190117</v>
      </c>
      <c r="S3" s="30" t="n">
        <f aca="false">Calculations!S8</f>
        <v>871.202257782512</v>
      </c>
      <c r="T3" s="30" t="n">
        <f aca="false">Calculations!T8</f>
        <v>943.354167471212</v>
      </c>
      <c r="U3" s="30" t="n">
        <f aca="false">Calculations!U8</f>
        <v>1018.62000077236</v>
      </c>
      <c r="V3" s="30" t="n">
        <f aca="false">Calculations!V8</f>
        <v>1097.87520074147</v>
      </c>
      <c r="W3" s="30" t="n">
        <f aca="false">Calculations!W8</f>
        <v>1180.96019271181</v>
      </c>
      <c r="X3" s="30" t="n">
        <f aca="false">Calculations!X8</f>
        <v>1266.72178500334</v>
      </c>
      <c r="Y3" s="30" t="n">
        <f aca="false">Calculations!Y8</f>
        <v>1356.0529136032</v>
      </c>
      <c r="Z3" s="30" t="n">
        <f aca="false">Calculations!Z8</f>
        <v>1448.81079705908</v>
      </c>
      <c r="AA3" s="30" t="n">
        <f aca="false">Calculations!AA8</f>
        <v>1541.85836517671</v>
      </c>
      <c r="AB3" s="30" t="n">
        <f aca="false">Calculations!AB8</f>
        <v>1635.18403056964</v>
      </c>
      <c r="AC3" s="30" t="n">
        <f aca="false">Calculations!AC8</f>
        <v>1728.77666934686</v>
      </c>
      <c r="AD3" s="30" t="n">
        <f aca="false">Calculations!AD8</f>
        <v>1822.62560257298</v>
      </c>
      <c r="AE3" s="30" t="n">
        <f aca="false">Calculations!AE8</f>
        <v>1916.72057847006</v>
      </c>
      <c r="AF3" s="30" t="n">
        <f aca="false">Calculations!AF8</f>
        <v>2011.05175533126</v>
      </c>
      <c r="AG3" s="30" t="n">
        <f aca="false">Calculations!AG8</f>
        <v>2105.60968511801</v>
      </c>
      <c r="AH3" s="30" t="n">
        <f aca="false">Calculations!AH8</f>
        <v>2200.38529771329</v>
      </c>
      <c r="AI3" s="30" t="n">
        <f aca="false">Calculations!AI8</f>
        <v>2295.36988580476</v>
      </c>
      <c r="AJ3" s="30" t="n">
        <f aca="false">Calculations!AJ8</f>
        <v>2390.55509037257</v>
      </c>
      <c r="AK3" s="30" t="n">
        <f aca="false">Calculations!AK8</f>
        <v>2485.93288675767</v>
      </c>
      <c r="AL3" s="30" t="n">
        <f aca="false">Calculations!AL8</f>
        <v>2581.49557128736</v>
      </c>
      <c r="AM3" s="30" t="n">
        <f aca="false">Calculations!AM8</f>
        <v>2677.23574843586</v>
      </c>
      <c r="AN3" s="30" t="n">
        <f aca="false">Calculations!AN8</f>
        <v>2773.14631849843</v>
      </c>
      <c r="AO3" s="30" t="n">
        <f aca="false">Calculations!AO8</f>
        <v>2869.22046575849</v>
      </c>
    </row>
    <row r="4" customFormat="false" ht="15" hidden="false" customHeight="false" outlineLevel="0" collapsed="false">
      <c r="A4" s="2" t="n">
        <v>2</v>
      </c>
      <c r="B4" s="2" t="s">
        <v>189</v>
      </c>
      <c r="C4" s="2" t="s">
        <v>190</v>
      </c>
      <c r="D4" s="2" t="s">
        <v>560</v>
      </c>
      <c r="E4" s="2" t="s">
        <v>192</v>
      </c>
      <c r="J4" s="30" t="n">
        <f aca="false">Calculations!J5</f>
        <v>40</v>
      </c>
      <c r="K4" s="30" t="n">
        <f aca="false">Calculations!K5</f>
        <v>47</v>
      </c>
      <c r="L4" s="30" t="n">
        <f aca="false">Calculations!L5</f>
        <v>53</v>
      </c>
      <c r="M4" s="30" t="n">
        <f aca="false">Calculations!M5</f>
        <v>60</v>
      </c>
      <c r="N4" s="30" t="n">
        <f aca="false">Calculations!N5</f>
        <v>67</v>
      </c>
      <c r="O4" s="30" t="n">
        <f aca="false">Calculations!O5</f>
        <v>73</v>
      </c>
      <c r="P4" s="30" t="n">
        <f aca="false">Calculations!P5</f>
        <v>80</v>
      </c>
      <c r="Q4" s="30" t="n">
        <f aca="false">Calculations!Q5</f>
        <v>87</v>
      </c>
      <c r="R4" s="30" t="n">
        <f aca="false">Calculations!R5</f>
        <v>93</v>
      </c>
      <c r="S4" s="30" t="n">
        <f aca="false">Calculations!S5</f>
        <v>100</v>
      </c>
      <c r="T4" s="30" t="n">
        <f aca="false">Calculations!T5</f>
        <v>107</v>
      </c>
      <c r="U4" s="30" t="n">
        <f aca="false">Calculations!U5</f>
        <v>113</v>
      </c>
      <c r="V4" s="30" t="n">
        <f aca="false">Calculations!V5</f>
        <v>120</v>
      </c>
      <c r="W4" s="30" t="n">
        <f aca="false">Calculations!W5</f>
        <v>127</v>
      </c>
      <c r="X4" s="30" t="n">
        <f aca="false">Calculations!X5</f>
        <v>133</v>
      </c>
      <c r="Y4" s="30" t="n">
        <f aca="false">Calculations!Y5</f>
        <v>140</v>
      </c>
      <c r="Z4" s="30" t="n">
        <f aca="false">Calculations!Z5</f>
        <v>147</v>
      </c>
      <c r="AA4" s="30" t="n">
        <f aca="false">Calculations!AA5</f>
        <v>151</v>
      </c>
      <c r="AB4" s="30" t="n">
        <f aca="false">Calculations!AB5</f>
        <v>155</v>
      </c>
      <c r="AC4" s="30" t="n">
        <f aca="false">Calculations!AC5</f>
        <v>159</v>
      </c>
      <c r="AD4" s="30" t="n">
        <f aca="false">Calculations!AD5</f>
        <v>163</v>
      </c>
      <c r="AE4" s="30" t="n">
        <f aca="false">Calculations!AE5</f>
        <v>167</v>
      </c>
      <c r="AF4" s="30" t="n">
        <f aca="false">Calculations!AF5</f>
        <v>171</v>
      </c>
      <c r="AG4" s="30" t="n">
        <f aca="false">Calculations!AG5</f>
        <v>175</v>
      </c>
      <c r="AH4" s="30" t="n">
        <f aca="false">Calculations!AH5</f>
        <v>179</v>
      </c>
      <c r="AI4" s="30" t="n">
        <f aca="false">Calculations!AI5</f>
        <v>183</v>
      </c>
      <c r="AJ4" s="30" t="n">
        <f aca="false">Calculations!AJ5</f>
        <v>187</v>
      </c>
      <c r="AK4" s="30" t="n">
        <f aca="false">Calculations!AK5</f>
        <v>191</v>
      </c>
      <c r="AL4" s="30" t="n">
        <f aca="false">Calculations!AL5</f>
        <v>195</v>
      </c>
      <c r="AM4" s="30" t="n">
        <f aca="false">Calculations!AM5</f>
        <v>199</v>
      </c>
      <c r="AN4" s="30" t="n">
        <f aca="false">Calculations!AN5</f>
        <v>203</v>
      </c>
      <c r="AO4" s="30" t="n">
        <f aca="false">Calculations!AO5</f>
        <v>207</v>
      </c>
    </row>
    <row r="5" customFormat="false" ht="15" hidden="false" customHeight="false" outlineLevel="0" collapsed="false">
      <c r="A5" s="2" t="n">
        <v>3</v>
      </c>
      <c r="B5" s="2" t="s">
        <v>214</v>
      </c>
      <c r="C5" s="2" t="s">
        <v>215</v>
      </c>
      <c r="D5" s="2" t="s">
        <v>560</v>
      </c>
      <c r="E5" s="2" t="s">
        <v>217</v>
      </c>
      <c r="J5" s="30" t="n">
        <f aca="false">Calculations!J10</f>
        <v>16</v>
      </c>
      <c r="K5" s="30" t="n">
        <f aca="false">Calculations!K10</f>
        <v>16.96</v>
      </c>
      <c r="L5" s="30" t="n">
        <f aca="false">Calculations!L10</f>
        <v>18.1616</v>
      </c>
      <c r="M5" s="30" t="n">
        <f aca="false">Calculations!M10</f>
        <v>19.555136</v>
      </c>
      <c r="N5" s="30" t="n">
        <f aca="false">Calculations!N10</f>
        <v>21.17293056</v>
      </c>
      <c r="O5" s="30" t="n">
        <f aca="false">Calculations!O10</f>
        <v>23.0060133376</v>
      </c>
      <c r="P5" s="30" t="n">
        <f aca="false">Calculations!P10</f>
        <v>25.005772804096</v>
      </c>
      <c r="Q5" s="30" t="n">
        <f aca="false">Calculations!Q10</f>
        <v>27.2055418919322</v>
      </c>
      <c r="R5" s="30" t="n">
        <f aca="false">Calculations!R10</f>
        <v>29.5973202162549</v>
      </c>
      <c r="S5" s="30" t="n">
        <f aca="false">Calculations!S10</f>
        <v>32.1334274076047</v>
      </c>
      <c r="T5" s="30" t="n">
        <f aca="false">Calculations!T10</f>
        <v>34.8480903113005</v>
      </c>
      <c r="U5" s="30" t="n">
        <f aca="false">Calculations!U10</f>
        <v>37.7341666988485</v>
      </c>
      <c r="V5" s="30" t="n">
        <f aca="false">Calculations!V10</f>
        <v>40.7448000308945</v>
      </c>
      <c r="W5" s="30" t="n">
        <f aca="false">Calculations!W10</f>
        <v>43.9150080296587</v>
      </c>
      <c r="X5" s="30" t="n">
        <f aca="false">Calculations!X10</f>
        <v>47.2384077084724</v>
      </c>
      <c r="Y5" s="30" t="n">
        <f aca="false">Calculations!Y10</f>
        <v>50.6688714001335</v>
      </c>
      <c r="Z5" s="30" t="n">
        <f aca="false">Calculations!Z10</f>
        <v>54.2421165441282</v>
      </c>
      <c r="AA5" s="30" t="n">
        <f aca="false">Calculations!AA10</f>
        <v>57.952431882363</v>
      </c>
      <c r="AB5" s="30" t="n">
        <f aca="false">Calculations!AB10</f>
        <v>61.6743346070685</v>
      </c>
      <c r="AC5" s="30" t="n">
        <f aca="false">Calculations!AC10</f>
        <v>65.4073612227858</v>
      </c>
      <c r="AD5" s="30" t="n">
        <f aca="false">Calculations!AD10</f>
        <v>69.1510667738743</v>
      </c>
      <c r="AE5" s="30" t="n">
        <f aca="false">Calculations!AE10</f>
        <v>72.9050241029193</v>
      </c>
      <c r="AF5" s="30" t="n">
        <f aca="false">Calculations!AF10</f>
        <v>76.6688231388026</v>
      </c>
      <c r="AG5" s="30" t="n">
        <f aca="false">Calculations!AG10</f>
        <v>80.4420702132505</v>
      </c>
      <c r="AH5" s="30" t="n">
        <f aca="false">Calculations!AH10</f>
        <v>84.2243874047205</v>
      </c>
      <c r="AI5" s="30" t="n">
        <f aca="false">Calculations!AI10</f>
        <v>88.0154119085316</v>
      </c>
      <c r="AJ5" s="30" t="n">
        <f aca="false">Calculations!AJ10</f>
        <v>91.8147954321904</v>
      </c>
      <c r="AK5" s="30" t="n">
        <f aca="false">Calculations!AK10</f>
        <v>95.6222036149027</v>
      </c>
      <c r="AL5" s="30" t="n">
        <f aca="false">Calculations!AL10</f>
        <v>99.4373154703066</v>
      </c>
      <c r="AM5" s="30" t="n">
        <f aca="false">Calculations!AM10</f>
        <v>103.259822851494</v>
      </c>
      <c r="AN5" s="30" t="n">
        <f aca="false">Calculations!AN10</f>
        <v>107.089429937435</v>
      </c>
      <c r="AO5" s="30" t="n">
        <f aca="false">Calculations!AO10</f>
        <v>110.925852739937</v>
      </c>
    </row>
    <row r="6" customFormat="false" ht="15" hidden="false" customHeight="false" outlineLevel="0" collapsed="false">
      <c r="A6" s="2" t="n">
        <v>4</v>
      </c>
      <c r="B6" s="2" t="s">
        <v>245</v>
      </c>
      <c r="C6" s="2" t="s">
        <v>246</v>
      </c>
      <c r="D6" s="2" t="s">
        <v>561</v>
      </c>
      <c r="E6" s="2" t="s">
        <v>248</v>
      </c>
      <c r="J6" s="25" t="n">
        <f aca="false">Calculations!J17</f>
        <v>10176000</v>
      </c>
      <c r="K6" s="25" t="n">
        <f aca="false">Calculations!K17</f>
        <v>10977783.5344791</v>
      </c>
      <c r="L6" s="25" t="n">
        <f aca="false">Calculations!L17</f>
        <v>11907777.2882779</v>
      </c>
      <c r="M6" s="25" t="n">
        <f aca="false">Calculations!M17</f>
        <v>12988534.1956632</v>
      </c>
      <c r="N6" s="25" t="n">
        <f aca="false">Calculations!N17</f>
        <v>14217716.2426368</v>
      </c>
      <c r="O6" s="25" t="n">
        <f aca="false">Calculations!O17</f>
        <v>15568187.8129901</v>
      </c>
      <c r="P6" s="25" t="n">
        <f aca="false">Calculations!P17</f>
        <v>17063356.648183</v>
      </c>
      <c r="Q6" s="25" t="n">
        <f aca="false">Calculations!Q17</f>
        <v>18701170.2881004</v>
      </c>
      <c r="R6" s="25" t="n">
        <f aca="false">Calculations!R17</f>
        <v>20454211.8820367</v>
      </c>
      <c r="S6" s="25" t="n">
        <f aca="false">Calculations!S17</f>
        <v>22346730.4016114</v>
      </c>
      <c r="T6" s="25" t="n">
        <f aca="false">Calculations!T17</f>
        <v>24376933.683767</v>
      </c>
      <c r="U6" s="25" t="n">
        <f aca="false">Calculations!U17</f>
        <v>26517086.7264293</v>
      </c>
      <c r="V6" s="25" t="n">
        <f aca="false">Calculations!V17</f>
        <v>28792268.9875349</v>
      </c>
      <c r="W6" s="25" t="n">
        <f aca="false">Calculations!W17</f>
        <v>31200925.8125667</v>
      </c>
      <c r="X6" s="25" t="n">
        <f aca="false">Calculations!X17</f>
        <v>33714969.2384692</v>
      </c>
      <c r="Y6" s="25" t="n">
        <f aca="false">Calculations!Y17</f>
        <v>36360301.0632318</v>
      </c>
      <c r="Z6" s="25" t="n">
        <f aca="false">Calculations!Z17</f>
        <v>39135583.5867146</v>
      </c>
      <c r="AA6" s="25" t="n">
        <f aca="false">Calculations!AA17</f>
        <v>41957917.8240911</v>
      </c>
      <c r="AB6" s="25" t="n">
        <f aca="false">Calculations!AB17</f>
        <v>44827589.8787346</v>
      </c>
      <c r="AC6" s="25" t="n">
        <f aca="false">Calculations!AC17</f>
        <v>47744896.0317961</v>
      </c>
      <c r="AD6" s="25" t="n">
        <f aca="false">Calculations!AD17</f>
        <v>50710142.5972385</v>
      </c>
      <c r="AE6" s="25" t="n">
        <f aca="false">Calculations!AE17</f>
        <v>53723645.7833748</v>
      </c>
      <c r="AF6" s="25" t="n">
        <f aca="false">Calculations!AF17</f>
        <v>56785731.5607091</v>
      </c>
      <c r="AG6" s="25" t="n">
        <f aca="false">Calculations!AG17</f>
        <v>59896735.5358911</v>
      </c>
      <c r="AH6" s="25" t="n">
        <f aca="false">Calculations!AH17</f>
        <v>63057002.8315967</v>
      </c>
      <c r="AI6" s="25" t="n">
        <f aca="false">Calculations!AI17</f>
        <v>66266887.9721573</v>
      </c>
      <c r="AJ6" s="25" t="n">
        <f aca="false">Calculations!AJ17</f>
        <v>69526754.7747628</v>
      </c>
      <c r="AK6" s="25" t="n">
        <f aca="false">Calculations!AK17</f>
        <v>72836976.2460726</v>
      </c>
      <c r="AL6" s="25" t="n">
        <f aca="false">Calculations!AL17</f>
        <v>76197934.4840726</v>
      </c>
      <c r="AM6" s="25" t="n">
        <f aca="false">Calculations!AM17</f>
        <v>79610020.5850208</v>
      </c>
      <c r="AN6" s="25" t="n">
        <f aca="false">Calculations!AN17</f>
        <v>83073634.5553321</v>
      </c>
      <c r="AO6" s="25" t="n">
        <f aca="false">Calculations!AO17</f>
        <v>86589185.228256</v>
      </c>
    </row>
    <row r="7" customFormat="false" ht="15" hidden="false" customHeight="false" outlineLevel="0" collapsed="false">
      <c r="A7" s="2" t="n">
        <v>5</v>
      </c>
      <c r="B7" s="2" t="s">
        <v>249</v>
      </c>
      <c r="C7" s="2" t="s">
        <v>242</v>
      </c>
      <c r="D7" s="2" t="s">
        <v>561</v>
      </c>
      <c r="E7" s="2" t="s">
        <v>251</v>
      </c>
      <c r="J7" s="25" t="n">
        <f aca="false">Calculations!J18</f>
        <v>2472000</v>
      </c>
      <c r="K7" s="25" t="n">
        <f aca="false">Calculations!K18</f>
        <v>2653657.45711116</v>
      </c>
      <c r="L7" s="25" t="n">
        <f aca="false">Calculations!L18</f>
        <v>2870872.97889907</v>
      </c>
      <c r="M7" s="25" t="n">
        <f aca="false">Calculations!M18</f>
        <v>3123079.04035019</v>
      </c>
      <c r="N7" s="25" t="n">
        <f aca="false">Calculations!N18</f>
        <v>3412823.4160896</v>
      </c>
      <c r="O7" s="25" t="n">
        <f aca="false">Calculations!O18</f>
        <v>3736419.73468925</v>
      </c>
      <c r="P7" s="25" t="n">
        <f aca="false">Calculations!P18</f>
        <v>4093376.85345392</v>
      </c>
      <c r="Q7" s="25" t="n">
        <f aca="false">Calculations!Q18</f>
        <v>4486385.88466401</v>
      </c>
      <c r="R7" s="25" t="n">
        <f aca="false">Calculations!R18</f>
        <v>4911761.26156144</v>
      </c>
      <c r="S7" s="25" t="n">
        <f aca="false">Calculations!S18</f>
        <v>5369081.58016676</v>
      </c>
      <c r="T7" s="25" t="n">
        <f aca="false">Calculations!T18</f>
        <v>5861176.4235956</v>
      </c>
      <c r="U7" s="25" t="n">
        <f aca="false">Calculations!U18</f>
        <v>6384353.23463123</v>
      </c>
      <c r="V7" s="25" t="n">
        <f aca="false">Calculations!V18</f>
        <v>6938254.35619381</v>
      </c>
      <c r="W7" s="25" t="n">
        <f aca="false">Calculations!W18</f>
        <v>7525843.64072825</v>
      </c>
      <c r="X7" s="25" t="n">
        <f aca="false">Calculations!X18</f>
        <v>8143414.31966493</v>
      </c>
      <c r="Y7" s="25" t="n">
        <f aca="false">Calculations!Y18</f>
        <v>8790667.08106584</v>
      </c>
      <c r="Z7" s="25" t="n">
        <f aca="false">Calculations!Z18</f>
        <v>9470696.45159905</v>
      </c>
      <c r="AA7" s="25" t="n">
        <f aca="false">Calculations!AA18</f>
        <v>10172971.6054165</v>
      </c>
      <c r="AB7" s="25" t="n">
        <f aca="false">Calculations!AB18</f>
        <v>10887089.0738714</v>
      </c>
      <c r="AC7" s="25" t="n">
        <f aca="false">Calculations!AC18</f>
        <v>11613121.9202855</v>
      </c>
      <c r="AD7" s="25" t="n">
        <f aca="false">Calculations!AD18</f>
        <v>12351145.7437404</v>
      </c>
      <c r="AE7" s="25" t="n">
        <f aca="false">Calculations!AE18</f>
        <v>13101238.6435145</v>
      </c>
      <c r="AF7" s="25" t="n">
        <f aca="false">Calculations!AF18</f>
        <v>13863481.1851276</v>
      </c>
      <c r="AG7" s="25" t="n">
        <f aca="false">Calculations!AG18</f>
        <v>14637956.3679421</v>
      </c>
      <c r="AH7" s="25" t="n">
        <f aca="false">Calculations!AH18</f>
        <v>15424749.5942762</v>
      </c>
      <c r="AI7" s="25" t="n">
        <f aca="false">Calculations!AI18</f>
        <v>16223948.6399806</v>
      </c>
      <c r="AJ7" s="25" t="n">
        <f aca="false">Calculations!AJ18</f>
        <v>17035643.6264371</v>
      </c>
      <c r="AK7" s="25" t="n">
        <f aca="false">Calculations!AK18</f>
        <v>17859926.9939341</v>
      </c>
      <c r="AL7" s="25" t="n">
        <f aca="false">Calculations!AL18</f>
        <v>18696893.4763794</v>
      </c>
      <c r="AM7" s="25" t="n">
        <f aca="false">Calculations!AM18</f>
        <v>19546640.0773096</v>
      </c>
      <c r="AN7" s="25" t="n">
        <f aca="false">Calculations!AN18</f>
        <v>20409266.0471574</v>
      </c>
      <c r="AO7" s="25" t="n">
        <f aca="false">Calculations!AO18</f>
        <v>21284872.8617403</v>
      </c>
    </row>
    <row r="8" customFormat="false" ht="15" hidden="false" customHeight="false" outlineLevel="0" collapsed="false">
      <c r="A8" s="2" t="n">
        <v>6</v>
      </c>
      <c r="B8" s="2" t="s">
        <v>265</v>
      </c>
      <c r="C8" s="2" t="s">
        <v>91</v>
      </c>
      <c r="D8" s="2" t="s">
        <v>561</v>
      </c>
      <c r="E8" s="2" t="s">
        <v>267</v>
      </c>
      <c r="J8" s="25" t="n">
        <f aca="false">Calculations!J22</f>
        <v>383160</v>
      </c>
      <c r="K8" s="25" t="n">
        <f aca="false">Calculations!K22</f>
        <v>409949.283854449</v>
      </c>
      <c r="L8" s="25" t="n">
        <f aca="false">Calculations!L22</f>
        <v>442037.067206421</v>
      </c>
      <c r="M8" s="25" t="n">
        <f aca="false">Calculations!M22</f>
        <v>479284.067869766</v>
      </c>
      <c r="N8" s="25" t="n">
        <f aca="false">Calculations!N22</f>
        <v>522029.445830016</v>
      </c>
      <c r="O8" s="25" t="n">
        <f aca="false">Calculations!O22</f>
        <v>569657.55469249</v>
      </c>
      <c r="P8" s="25" t="n">
        <f aca="false">Calculations!P22</f>
        <v>622046.434697731</v>
      </c>
      <c r="Q8" s="25" t="n">
        <f aca="false">Calculations!Q22</f>
        <v>679557.826264422</v>
      </c>
      <c r="R8" s="25" t="n">
        <f aca="false">Calculations!R22</f>
        <v>741586.132257985</v>
      </c>
      <c r="S8" s="25" t="n">
        <f aca="false">Calculations!S22</f>
        <v>808024.902338426</v>
      </c>
      <c r="T8" s="25" t="n">
        <f aca="false">Calculations!T22</f>
        <v>879256.845308908</v>
      </c>
      <c r="U8" s="25" t="n">
        <f aca="false">Calculations!U22</f>
        <v>954684.600274805</v>
      </c>
      <c r="V8" s="25" t="n">
        <f aca="false">Calculations!V22</f>
        <v>1034215.61259438</v>
      </c>
      <c r="W8" s="25" t="n">
        <f aca="false">Calculations!W22</f>
        <v>1118252.14208709</v>
      </c>
      <c r="X8" s="25" t="n">
        <f aca="false">Calculations!X22</f>
        <v>1206203.4324917</v>
      </c>
      <c r="Y8" s="25" t="n">
        <f aca="false">Calculations!Y22</f>
        <v>1297989.38859797</v>
      </c>
      <c r="Z8" s="25" t="n">
        <f aca="false">Calculations!Z22</f>
        <v>1394030.577625</v>
      </c>
      <c r="AA8" s="25" t="n">
        <f aca="false">Calculations!AA22</f>
        <v>1492743.11052992</v>
      </c>
      <c r="AB8" s="25" t="n">
        <f aca="false">Calculations!AB22</f>
        <v>1592581.4743858</v>
      </c>
      <c r="AC8" s="25" t="n">
        <f aca="false">Calculations!AC22</f>
        <v>1693547.11020673</v>
      </c>
      <c r="AD8" s="25" t="n">
        <f aca="false">Calculations!AD22</f>
        <v>1795641.8653211</v>
      </c>
      <c r="AE8" s="25" t="n">
        <f aca="false">Calculations!AE22</f>
        <v>1898867.98271777</v>
      </c>
      <c r="AF8" s="25" t="n">
        <f aca="false">Calculations!AF22</f>
        <v>2003228.09083412</v>
      </c>
      <c r="AG8" s="25" t="n">
        <f aca="false">Calculations!AG22</f>
        <v>2108725.19376943</v>
      </c>
      <c r="AH8" s="25" t="n">
        <f aca="false">Calculations!AH22</f>
        <v>2215362.66190805</v>
      </c>
      <c r="AI8" s="25" t="n">
        <f aca="false">Calculations!AI22</f>
        <v>2323144.22293714</v>
      </c>
      <c r="AJ8" s="25" t="n">
        <f aca="false">Calculations!AJ22</f>
        <v>2432073.95324439</v>
      </c>
      <c r="AK8" s="25" t="n">
        <f aca="false">Calculations!AK22</f>
        <v>2542156.26968175</v>
      </c>
      <c r="AL8" s="25" t="n">
        <f aca="false">Calculations!AL22</f>
        <v>2653395.92168171</v>
      </c>
      <c r="AM8" s="25" t="n">
        <f aca="false">Calculations!AM22</f>
        <v>2765797.98371319</v>
      </c>
      <c r="AN8" s="25" t="n">
        <f aca="false">Calculations!AN22</f>
        <v>2879367.84806458</v>
      </c>
      <c r="AO8" s="25" t="n">
        <f aca="false">Calculations!AO22</f>
        <v>2994111.21794188</v>
      </c>
    </row>
    <row r="9" customFormat="false" ht="15" hidden="false" customHeight="false" outlineLevel="0" collapsed="false">
      <c r="A9" s="2" t="n">
        <v>7</v>
      </c>
      <c r="B9" s="2" t="s">
        <v>268</v>
      </c>
      <c r="C9" s="2" t="s">
        <v>269</v>
      </c>
      <c r="D9" s="2" t="s">
        <v>561</v>
      </c>
      <c r="E9" s="2" t="s">
        <v>271</v>
      </c>
      <c r="J9" s="25" t="n">
        <f aca="false">Calculations!J23</f>
        <v>2088840</v>
      </c>
      <c r="K9" s="25" t="n">
        <f aca="false">Calculations!K23</f>
        <v>2243708.17325671</v>
      </c>
      <c r="L9" s="25" t="n">
        <f aca="false">Calculations!L23</f>
        <v>2428835.91169265</v>
      </c>
      <c r="M9" s="25" t="n">
        <f aca="false">Calculations!M23</f>
        <v>2643794.97248042</v>
      </c>
      <c r="N9" s="25" t="n">
        <f aca="false">Calculations!N23</f>
        <v>2890793.97025958</v>
      </c>
      <c r="O9" s="25" t="n">
        <f aca="false">Calculations!O23</f>
        <v>3166762.17999676</v>
      </c>
      <c r="P9" s="25" t="n">
        <f aca="false">Calculations!P23</f>
        <v>3471330.41875619</v>
      </c>
      <c r="Q9" s="25" t="n">
        <f aca="false">Calculations!Q23</f>
        <v>3806828.05839959</v>
      </c>
      <c r="R9" s="25" t="n">
        <f aca="false">Calculations!R23</f>
        <v>4170175.12930346</v>
      </c>
      <c r="S9" s="25" t="n">
        <f aca="false">Calculations!S23</f>
        <v>4561056.67782833</v>
      </c>
      <c r="T9" s="25" t="n">
        <f aca="false">Calculations!T23</f>
        <v>4981919.57828669</v>
      </c>
      <c r="U9" s="25" t="n">
        <f aca="false">Calculations!U23</f>
        <v>5429668.63435642</v>
      </c>
      <c r="V9" s="25" t="n">
        <f aca="false">Calculations!V23</f>
        <v>5904038.74359943</v>
      </c>
      <c r="W9" s="25" t="n">
        <f aca="false">Calculations!W23</f>
        <v>6407591.49864116</v>
      </c>
      <c r="X9" s="25" t="n">
        <f aca="false">Calculations!X23</f>
        <v>6937210.88717323</v>
      </c>
      <c r="Y9" s="25" t="n">
        <f aca="false">Calculations!Y23</f>
        <v>7492677.69246787</v>
      </c>
      <c r="Z9" s="25" t="n">
        <f aca="false">Calculations!Z23</f>
        <v>8076665.87397405</v>
      </c>
      <c r="AA9" s="25" t="n">
        <f aca="false">Calculations!AA23</f>
        <v>8680228.49488657</v>
      </c>
      <c r="AB9" s="25" t="n">
        <f aca="false">Calculations!AB23</f>
        <v>9294507.5994856</v>
      </c>
      <c r="AC9" s="25" t="n">
        <f aca="false">Calculations!AC23</f>
        <v>9919574.81007878</v>
      </c>
      <c r="AD9" s="25" t="n">
        <f aca="false">Calculations!AD23</f>
        <v>10555503.8784193</v>
      </c>
      <c r="AE9" s="25" t="n">
        <f aca="false">Calculations!AE23</f>
        <v>11202370.6607967</v>
      </c>
      <c r="AF9" s="25" t="n">
        <f aca="false">Calculations!AF23</f>
        <v>11860253.0942935</v>
      </c>
      <c r="AG9" s="25" t="n">
        <f aca="false">Calculations!AG23</f>
        <v>12529231.1741727</v>
      </c>
      <c r="AH9" s="25" t="n">
        <f aca="false">Calculations!AH23</f>
        <v>13209386.9323681</v>
      </c>
      <c r="AI9" s="25" t="n">
        <f aca="false">Calculations!AI23</f>
        <v>13900804.4170434</v>
      </c>
      <c r="AJ9" s="25" t="n">
        <f aca="false">Calculations!AJ23</f>
        <v>14603569.6731927</v>
      </c>
      <c r="AK9" s="25" t="n">
        <f aca="false">Calculations!AK23</f>
        <v>15317770.7242523</v>
      </c>
      <c r="AL9" s="25" t="n">
        <f aca="false">Calculations!AL23</f>
        <v>16043497.5546977</v>
      </c>
      <c r="AM9" s="25" t="n">
        <f aca="false">Calculations!AM23</f>
        <v>16780842.0935964</v>
      </c>
      <c r="AN9" s="25" t="n">
        <f aca="false">Calculations!AN23</f>
        <v>17529898.1990928</v>
      </c>
      <c r="AO9" s="25" t="n">
        <f aca="false">Calculations!AO23</f>
        <v>18290761.6437984</v>
      </c>
    </row>
    <row r="10" customFormat="false" ht="15" hidden="false" customHeight="false" outlineLevel="0" collapsed="false">
      <c r="A10" s="2" t="n">
        <v>8</v>
      </c>
      <c r="B10" s="2" t="s">
        <v>272</v>
      </c>
      <c r="C10" s="2" t="s">
        <v>273</v>
      </c>
      <c r="D10" s="2" t="s">
        <v>562</v>
      </c>
      <c r="E10" s="2" t="s">
        <v>276</v>
      </c>
      <c r="J10" s="31" t="n">
        <f aca="false">Calculations!J24</f>
        <v>0.845</v>
      </c>
      <c r="K10" s="31" t="n">
        <f aca="false">Calculations!K24</f>
        <v>0.84551537246984</v>
      </c>
      <c r="L10" s="31" t="n">
        <f aca="false">Calculations!L24</f>
        <v>0.846026950528499</v>
      </c>
      <c r="M10" s="31" t="n">
        <f aca="false">Calculations!M24</f>
        <v>0.846534762112193</v>
      </c>
      <c r="N10" s="31" t="n">
        <f aca="false">Calculations!N24</f>
        <v>0.847038834951456</v>
      </c>
      <c r="O10" s="31" t="n">
        <f aca="false">Calculations!O24</f>
        <v>0.84753919657266</v>
      </c>
      <c r="P10" s="31" t="n">
        <f aca="false">Calculations!P24</f>
        <v>0.848035874299514</v>
      </c>
      <c r="Q10" s="31" t="n">
        <f aca="false">Calculations!Q24</f>
        <v>0.848528895254556</v>
      </c>
      <c r="R10" s="31" t="n">
        <f aca="false">Calculations!R24</f>
        <v>0.849018286360637</v>
      </c>
      <c r="S10" s="31" t="n">
        <f aca="false">Calculations!S24</f>
        <v>0.849504074342389</v>
      </c>
      <c r="T10" s="31" t="n">
        <f aca="false">Calculations!T24</f>
        <v>0.849986285727684</v>
      </c>
      <c r="U10" s="31" t="n">
        <f aca="false">Calculations!U24</f>
        <v>0.850464946849084</v>
      </c>
      <c r="V10" s="31" t="n">
        <f aca="false">Calculations!V24</f>
        <v>0.850940083845279</v>
      </c>
      <c r="W10" s="31" t="n">
        <f aca="false">Calculations!W24</f>
        <v>0.851411722662513</v>
      </c>
      <c r="X10" s="31" t="n">
        <f aca="false">Calculations!X24</f>
        <v>0.851879889056003</v>
      </c>
      <c r="Y10" s="31" t="n">
        <f aca="false">Calculations!Y24</f>
        <v>0.852344608591343</v>
      </c>
      <c r="Z10" s="31" t="n">
        <f aca="false">Calculations!Z24</f>
        <v>0.852805906645902</v>
      </c>
      <c r="AA10" s="31" t="n">
        <f aca="false">Calculations!AA24</f>
        <v>0.853263808410207</v>
      </c>
      <c r="AB10" s="31" t="n">
        <f aca="false">Calculations!AB24</f>
        <v>0.853718338889324</v>
      </c>
      <c r="AC10" s="31" t="n">
        <f aca="false">Calculations!AC24</f>
        <v>0.854169522904217</v>
      </c>
      <c r="AD10" s="31" t="n">
        <f aca="false">Calculations!AD24</f>
        <v>0.854617385093108</v>
      </c>
      <c r="AE10" s="31" t="n">
        <f aca="false">Calculations!AE24</f>
        <v>0.855061949912822</v>
      </c>
      <c r="AF10" s="31" t="n">
        <f aca="false">Calculations!AF24</f>
        <v>0.85550324164012</v>
      </c>
      <c r="AG10" s="31" t="n">
        <f aca="false">Calculations!AG24</f>
        <v>0.855941284373026</v>
      </c>
      <c r="AH10" s="31" t="n">
        <f aca="false">Calculations!AH24</f>
        <v>0.856376102032144</v>
      </c>
      <c r="AI10" s="31" t="n">
        <f aca="false">Calculations!AI24</f>
        <v>0.856807718361964</v>
      </c>
      <c r="AJ10" s="31" t="n">
        <f aca="false">Calculations!AJ24</f>
        <v>0.857236156932155</v>
      </c>
      <c r="AK10" s="31" t="n">
        <f aca="false">Calculations!AK24</f>
        <v>0.85766144113886</v>
      </c>
      <c r="AL10" s="31" t="n">
        <f aca="false">Calculations!AL24</f>
        <v>0.858083594205965</v>
      </c>
      <c r="AM10" s="31" t="n">
        <f aca="false">Calculations!AM24</f>
        <v>0.858502639186372</v>
      </c>
      <c r="AN10" s="31" t="n">
        <f aca="false">Calculations!AN24</f>
        <v>0.858918598963258</v>
      </c>
      <c r="AO10" s="31" t="n">
        <f aca="false">Calculations!AO24</f>
        <v>0.859331496251321</v>
      </c>
    </row>
    <row r="11" customFormat="false" ht="15" hidden="false" customHeight="false" outlineLevel="0" collapsed="false">
      <c r="A11" s="2" t="n">
        <v>9</v>
      </c>
      <c r="B11" s="2" t="s">
        <v>282</v>
      </c>
      <c r="C11" s="2" t="s">
        <v>283</v>
      </c>
      <c r="D11" s="2" t="s">
        <v>561</v>
      </c>
      <c r="E11" s="2" t="s">
        <v>285</v>
      </c>
      <c r="J11" s="25" t="n">
        <f aca="false">Calculations!J26</f>
        <v>870000</v>
      </c>
      <c r="K11" s="25" t="n">
        <f aca="false">Calculations!K26</f>
        <v>970000</v>
      </c>
      <c r="L11" s="25" t="n">
        <f aca="false">Calculations!L26</f>
        <v>1115000</v>
      </c>
      <c r="M11" s="25" t="n">
        <f aca="false">Calculations!M26</f>
        <v>1260000</v>
      </c>
      <c r="N11" s="25" t="n">
        <f aca="false">Calculations!N26</f>
        <v>1405000</v>
      </c>
      <c r="O11" s="25" t="n">
        <f aca="false">Calculations!O26</f>
        <v>1550000</v>
      </c>
      <c r="P11" s="25" t="n">
        <f aca="false">Calculations!P26</f>
        <v>1695000</v>
      </c>
      <c r="Q11" s="25" t="n">
        <f aca="false">Calculations!Q26</f>
        <v>1840000</v>
      </c>
      <c r="R11" s="25" t="n">
        <f aca="false">Calculations!R26</f>
        <v>1985000</v>
      </c>
      <c r="S11" s="25" t="n">
        <f aca="false">Calculations!S26</f>
        <v>2130000</v>
      </c>
      <c r="T11" s="25" t="n">
        <f aca="false">Calculations!T26</f>
        <v>2275000</v>
      </c>
      <c r="U11" s="25" t="n">
        <f aca="false">Calculations!U26</f>
        <v>2420000</v>
      </c>
      <c r="V11" s="25" t="n">
        <f aca="false">Calculations!V26</f>
        <v>2565000</v>
      </c>
      <c r="W11" s="25" t="n">
        <f aca="false">Calculations!W26</f>
        <v>2710000</v>
      </c>
      <c r="X11" s="25" t="n">
        <f aca="false">Calculations!X26</f>
        <v>2855000</v>
      </c>
      <c r="Y11" s="25" t="n">
        <f aca="false">Calculations!Y26</f>
        <v>3000000</v>
      </c>
      <c r="Z11" s="25" t="n">
        <f aca="false">Calculations!Z26</f>
        <v>3145000</v>
      </c>
      <c r="AA11" s="25" t="n">
        <f aca="false">Calculations!AA26</f>
        <v>3205000</v>
      </c>
      <c r="AB11" s="25" t="n">
        <f aca="false">Calculations!AB26</f>
        <v>3310000</v>
      </c>
      <c r="AC11" s="25" t="n">
        <f aca="false">Calculations!AC26</f>
        <v>3370000</v>
      </c>
      <c r="AD11" s="25" t="n">
        <f aca="false">Calculations!AD26</f>
        <v>3475000</v>
      </c>
      <c r="AE11" s="25" t="n">
        <f aca="false">Calculations!AE26</f>
        <v>3535000</v>
      </c>
      <c r="AF11" s="25" t="n">
        <f aca="false">Calculations!AF26</f>
        <v>3640000</v>
      </c>
      <c r="AG11" s="25" t="n">
        <f aca="false">Calculations!AG26</f>
        <v>3700000</v>
      </c>
      <c r="AH11" s="25" t="n">
        <f aca="false">Calculations!AH26</f>
        <v>3805000</v>
      </c>
      <c r="AI11" s="25" t="n">
        <f aca="false">Calculations!AI26</f>
        <v>3865000</v>
      </c>
      <c r="AJ11" s="25" t="n">
        <f aca="false">Calculations!AJ26</f>
        <v>3970000</v>
      </c>
      <c r="AK11" s="25" t="n">
        <f aca="false">Calculations!AK26</f>
        <v>4030000</v>
      </c>
      <c r="AL11" s="25" t="n">
        <f aca="false">Calculations!AL26</f>
        <v>4135000</v>
      </c>
      <c r="AM11" s="25" t="n">
        <f aca="false">Calculations!AM26</f>
        <v>4195000</v>
      </c>
      <c r="AN11" s="25" t="n">
        <f aca="false">Calculations!AN26</f>
        <v>4300000</v>
      </c>
      <c r="AO11" s="25" t="n">
        <f aca="false">Calculations!AO26</f>
        <v>4360000</v>
      </c>
    </row>
    <row r="12" customFormat="false" ht="15" hidden="false" customHeight="false" outlineLevel="0" collapsed="false">
      <c r="A12" s="2" t="n">
        <v>10</v>
      </c>
      <c r="B12" s="2" t="s">
        <v>286</v>
      </c>
      <c r="C12" s="2" t="s">
        <v>287</v>
      </c>
      <c r="D12" s="2" t="s">
        <v>561</v>
      </c>
      <c r="E12" s="2" t="s">
        <v>289</v>
      </c>
      <c r="J12" s="25" t="n">
        <f aca="false">Calculations!J27</f>
        <v>1100000</v>
      </c>
      <c r="K12" s="25" t="n">
        <f aca="false">Calculations!K27</f>
        <v>1155000</v>
      </c>
      <c r="L12" s="25" t="n">
        <f aca="false">Calculations!L27</f>
        <v>1210000</v>
      </c>
      <c r="M12" s="25" t="n">
        <f aca="false">Calculations!M27</f>
        <v>1320000</v>
      </c>
      <c r="N12" s="25" t="n">
        <f aca="false">Calculations!N27</f>
        <v>1430000</v>
      </c>
      <c r="O12" s="25" t="n">
        <f aca="false">Calculations!O27</f>
        <v>1540000</v>
      </c>
      <c r="P12" s="25" t="n">
        <f aca="false">Calculations!P27</f>
        <v>1650000</v>
      </c>
      <c r="Q12" s="25" t="n">
        <f aca="false">Calculations!Q27</f>
        <v>1760000</v>
      </c>
      <c r="R12" s="25" t="n">
        <f aca="false">Calculations!R27</f>
        <v>1870000</v>
      </c>
      <c r="S12" s="25" t="n">
        <f aca="false">Calculations!S27</f>
        <v>1980000</v>
      </c>
      <c r="T12" s="25" t="n">
        <f aca="false">Calculations!T27</f>
        <v>2090000</v>
      </c>
      <c r="U12" s="25" t="n">
        <f aca="false">Calculations!U27</f>
        <v>2200000</v>
      </c>
      <c r="V12" s="25" t="n">
        <f aca="false">Calculations!V27</f>
        <v>2255000</v>
      </c>
      <c r="W12" s="25" t="n">
        <f aca="false">Calculations!W27</f>
        <v>2310000</v>
      </c>
      <c r="X12" s="25" t="n">
        <f aca="false">Calculations!X27</f>
        <v>2365000</v>
      </c>
      <c r="Y12" s="25" t="n">
        <f aca="false">Calculations!Y27</f>
        <v>2420000</v>
      </c>
      <c r="Z12" s="25" t="n">
        <f aca="false">Calculations!Z27</f>
        <v>2475000</v>
      </c>
      <c r="AA12" s="25" t="n">
        <f aca="false">Calculations!AA27</f>
        <v>2530000</v>
      </c>
      <c r="AB12" s="25" t="n">
        <f aca="false">Calculations!AB27</f>
        <v>2585000</v>
      </c>
      <c r="AC12" s="25" t="n">
        <f aca="false">Calculations!AC27</f>
        <v>2640000</v>
      </c>
      <c r="AD12" s="25" t="n">
        <f aca="false">Calculations!AD27</f>
        <v>2695000</v>
      </c>
      <c r="AE12" s="25" t="n">
        <f aca="false">Calculations!AE27</f>
        <v>2750000</v>
      </c>
      <c r="AF12" s="25" t="n">
        <f aca="false">Calculations!AF27</f>
        <v>2805000</v>
      </c>
      <c r="AG12" s="25" t="n">
        <f aca="false">Calculations!AG27</f>
        <v>2860000</v>
      </c>
      <c r="AH12" s="25" t="n">
        <f aca="false">Calculations!AH27</f>
        <v>2915000</v>
      </c>
      <c r="AI12" s="25" t="n">
        <f aca="false">Calculations!AI27</f>
        <v>2970000</v>
      </c>
      <c r="AJ12" s="25" t="n">
        <f aca="false">Calculations!AJ27</f>
        <v>3025000</v>
      </c>
      <c r="AK12" s="25" t="n">
        <f aca="false">Calculations!AK27</f>
        <v>3080000</v>
      </c>
      <c r="AL12" s="25" t="n">
        <f aca="false">Calculations!AL27</f>
        <v>3135000</v>
      </c>
      <c r="AM12" s="25" t="n">
        <f aca="false">Calculations!AM27</f>
        <v>3190000</v>
      </c>
      <c r="AN12" s="25" t="n">
        <f aca="false">Calculations!AN27</f>
        <v>3245000</v>
      </c>
      <c r="AO12" s="25" t="n">
        <f aca="false">Calculations!AO27</f>
        <v>3300000</v>
      </c>
    </row>
    <row r="13" customFormat="false" ht="15" hidden="false" customHeight="false" outlineLevel="0" collapsed="false">
      <c r="A13" s="2" t="n">
        <v>11</v>
      </c>
      <c r="B13" s="2" t="s">
        <v>294</v>
      </c>
      <c r="C13" s="2" t="s">
        <v>295</v>
      </c>
      <c r="D13" s="2" t="s">
        <v>561</v>
      </c>
      <c r="E13" s="2" t="s">
        <v>297</v>
      </c>
      <c r="J13" s="25" t="n">
        <f aca="false">Calculations!J29</f>
        <v>840000</v>
      </c>
      <c r="K13" s="25" t="n">
        <f aca="false">Calculations!K29</f>
        <v>855000</v>
      </c>
      <c r="L13" s="25" t="n">
        <f aca="false">Calculations!L29</f>
        <v>870375</v>
      </c>
      <c r="M13" s="25" t="n">
        <f aca="false">Calculations!M29</f>
        <v>886134.375</v>
      </c>
      <c r="N13" s="25" t="n">
        <f aca="false">Calculations!N29</f>
        <v>982287.734375</v>
      </c>
      <c r="O13" s="25" t="n">
        <f aca="false">Calculations!O29</f>
        <v>998844.927734375</v>
      </c>
      <c r="P13" s="25" t="n">
        <f aca="false">Calculations!P29</f>
        <v>1015816.05092773</v>
      </c>
      <c r="Q13" s="25" t="n">
        <f aca="false">Calculations!Q29</f>
        <v>1033211.45220093</v>
      </c>
      <c r="R13" s="25" t="n">
        <f aca="false">Calculations!R29</f>
        <v>1131041.73850595</v>
      </c>
      <c r="S13" s="25" t="n">
        <f aca="false">Calculations!S29</f>
        <v>1149317.7819686</v>
      </c>
      <c r="T13" s="25" t="n">
        <f aca="false">Calculations!T29</f>
        <v>1168050.72651781</v>
      </c>
      <c r="U13" s="25" t="n">
        <f aca="false">Calculations!U29</f>
        <v>1187251.99468076</v>
      </c>
      <c r="V13" s="25" t="n">
        <f aca="false">Calculations!V29</f>
        <v>1286933.29454778</v>
      </c>
      <c r="W13" s="25" t="n">
        <f aca="false">Calculations!W29</f>
        <v>1307106.62691147</v>
      </c>
      <c r="X13" s="25" t="n">
        <f aca="false">Calculations!X29</f>
        <v>1327784.29258426</v>
      </c>
      <c r="Y13" s="25" t="n">
        <f aca="false">Calculations!Y29</f>
        <v>1348978.89989887</v>
      </c>
      <c r="Z13" s="25" t="n">
        <f aca="false">Calculations!Z29</f>
        <v>1450703.37239634</v>
      </c>
      <c r="AA13" s="25" t="n">
        <f aca="false">Calculations!AA29</f>
        <v>1472970.95670625</v>
      </c>
      <c r="AB13" s="25" t="n">
        <f aca="false">Calculations!AB29</f>
        <v>1495795.2306239</v>
      </c>
      <c r="AC13" s="25" t="n">
        <f aca="false">Calculations!AC29</f>
        <v>1519190.1113895</v>
      </c>
      <c r="AD13" s="25" t="n">
        <f aca="false">Calculations!AD29</f>
        <v>1583169.86417424</v>
      </c>
      <c r="AE13" s="25" t="n">
        <f aca="false">Calculations!AE29</f>
        <v>1607749.11077859</v>
      </c>
      <c r="AF13" s="25" t="n">
        <f aca="false">Calculations!AF29</f>
        <v>1632942.83854806</v>
      </c>
      <c r="AG13" s="25" t="n">
        <f aca="false">Calculations!AG29</f>
        <v>1658766.40951176</v>
      </c>
      <c r="AH13" s="25" t="n">
        <f aca="false">Calculations!AH29</f>
        <v>1725235.56974955</v>
      </c>
      <c r="AI13" s="25" t="n">
        <f aca="false">Calculations!AI29</f>
        <v>1752366.45899329</v>
      </c>
      <c r="AJ13" s="25" t="n">
        <f aca="false">Calculations!AJ29</f>
        <v>1780175.62046812</v>
      </c>
      <c r="AK13" s="25" t="n">
        <f aca="false">Calculations!AK29</f>
        <v>1808680.01097983</v>
      </c>
      <c r="AL13" s="25" t="n">
        <f aca="false">Calculations!AL29</f>
        <v>1877897.01125432</v>
      </c>
      <c r="AM13" s="25" t="n">
        <f aca="false">Calculations!AM29</f>
        <v>1907844.43653568</v>
      </c>
      <c r="AN13" s="25" t="n">
        <f aca="false">Calculations!AN29</f>
        <v>1938540.54744907</v>
      </c>
      <c r="AO13" s="25" t="n">
        <f aca="false">Calculations!AO29</f>
        <v>1970004.0611353</v>
      </c>
    </row>
    <row r="14" customFormat="false" ht="15" hidden="false" customHeight="false" outlineLevel="0" collapsed="false">
      <c r="A14" s="2" t="n">
        <v>12</v>
      </c>
      <c r="B14" s="2" t="s">
        <v>302</v>
      </c>
      <c r="C14" s="2" t="s">
        <v>100</v>
      </c>
      <c r="D14" s="2" t="s">
        <v>561</v>
      </c>
      <c r="E14" s="2" t="s">
        <v>304</v>
      </c>
      <c r="J14" s="25" t="n">
        <f aca="false">Calculations!J31</f>
        <v>2810000</v>
      </c>
      <c r="K14" s="25" t="n">
        <f aca="false">Calculations!K31</f>
        <v>2980000</v>
      </c>
      <c r="L14" s="25" t="n">
        <f aca="false">Calculations!L31</f>
        <v>3195375</v>
      </c>
      <c r="M14" s="25" t="n">
        <f aca="false">Calculations!M31</f>
        <v>3466134.375</v>
      </c>
      <c r="N14" s="25" t="n">
        <f aca="false">Calculations!N31</f>
        <v>3817287.734375</v>
      </c>
      <c r="O14" s="25" t="n">
        <f aca="false">Calculations!O31</f>
        <v>4088844.92773437</v>
      </c>
      <c r="P14" s="25" t="n">
        <f aca="false">Calculations!P31</f>
        <v>4360816.05092773</v>
      </c>
      <c r="Q14" s="25" t="n">
        <f aca="false">Calculations!Q31</f>
        <v>4633211.45220093</v>
      </c>
      <c r="R14" s="25" t="n">
        <f aca="false">Calculations!R31</f>
        <v>6486041.73850595</v>
      </c>
      <c r="S14" s="25" t="n">
        <f aca="false">Calculations!S31</f>
        <v>6759317.7819686</v>
      </c>
      <c r="T14" s="25" t="n">
        <f aca="false">Calculations!T31</f>
        <v>7033050.72651781</v>
      </c>
      <c r="U14" s="25" t="n">
        <f aca="false">Calculations!U31</f>
        <v>7307251.99468076</v>
      </c>
      <c r="V14" s="25" t="n">
        <f aca="false">Calculations!V31</f>
        <v>6106933.29454778</v>
      </c>
      <c r="W14" s="25" t="n">
        <f aca="false">Calculations!W31</f>
        <v>6327106.62691147</v>
      </c>
      <c r="X14" s="25" t="n">
        <f aca="false">Calculations!X31</f>
        <v>6547784.29258426</v>
      </c>
      <c r="Y14" s="25" t="n">
        <f aca="false">Calculations!Y31</f>
        <v>6768978.89989887</v>
      </c>
      <c r="Z14" s="25" t="n">
        <f aca="false">Calculations!Z31</f>
        <v>7070703.37239634</v>
      </c>
      <c r="AA14" s="25" t="n">
        <f aca="false">Calculations!AA31</f>
        <v>7207970.95670625</v>
      </c>
      <c r="AB14" s="25" t="n">
        <f aca="false">Calculations!AB31</f>
        <v>7390795.2306239</v>
      </c>
      <c r="AC14" s="25" t="n">
        <f aca="false">Calculations!AC31</f>
        <v>7529190.1113895</v>
      </c>
      <c r="AD14" s="25" t="n">
        <f aca="false">Calculations!AD31</f>
        <v>7753169.86417424</v>
      </c>
      <c r="AE14" s="25" t="n">
        <f aca="false">Calculations!AE31</f>
        <v>7892749.11077859</v>
      </c>
      <c r="AF14" s="25" t="n">
        <f aca="false">Calculations!AF31</f>
        <v>8077942.83854806</v>
      </c>
      <c r="AG14" s="25" t="n">
        <f aca="false">Calculations!AG31</f>
        <v>8218766.40951176</v>
      </c>
      <c r="AH14" s="25" t="n">
        <f aca="false">Calculations!AH31</f>
        <v>8445235.56974955</v>
      </c>
      <c r="AI14" s="25" t="n">
        <f aca="false">Calculations!AI31</f>
        <v>8587366.45899329</v>
      </c>
      <c r="AJ14" s="25" t="n">
        <f aca="false">Calculations!AJ31</f>
        <v>8775175.62046812</v>
      </c>
      <c r="AK14" s="25" t="n">
        <f aca="false">Calculations!AK31</f>
        <v>8918680.01097983</v>
      </c>
      <c r="AL14" s="25" t="n">
        <f aca="false">Calculations!AL31</f>
        <v>9147897.01125432</v>
      </c>
      <c r="AM14" s="25" t="n">
        <f aca="false">Calculations!AM31</f>
        <v>9292844.43653568</v>
      </c>
      <c r="AN14" s="25" t="n">
        <f aca="false">Calculations!AN31</f>
        <v>9483540.54744907</v>
      </c>
      <c r="AO14" s="25" t="n">
        <f aca="false">Calculations!AO31</f>
        <v>9630004.0611353</v>
      </c>
    </row>
    <row r="15" customFormat="false" ht="15" hidden="false" customHeight="false" outlineLevel="0" collapsed="false">
      <c r="A15" s="2" t="n">
        <v>13</v>
      </c>
      <c r="B15" s="2" t="s">
        <v>305</v>
      </c>
      <c r="C15" s="2" t="s">
        <v>306</v>
      </c>
      <c r="D15" s="2" t="s">
        <v>561</v>
      </c>
      <c r="E15" s="2" t="s">
        <v>308</v>
      </c>
      <c r="J15" s="25" t="n">
        <f aca="false">Calculations!J32</f>
        <v>-721160</v>
      </c>
      <c r="K15" s="25" t="n">
        <f aca="false">Calculations!K32</f>
        <v>-736291.826743288</v>
      </c>
      <c r="L15" s="25" t="n">
        <f aca="false">Calculations!L32</f>
        <v>-766539.088307347</v>
      </c>
      <c r="M15" s="25" t="n">
        <f aca="false">Calculations!M32</f>
        <v>-822339.402519578</v>
      </c>
      <c r="N15" s="25" t="n">
        <f aca="false">Calculations!N32</f>
        <v>-926493.764115418</v>
      </c>
      <c r="O15" s="25" t="n">
        <f aca="false">Calculations!O32</f>
        <v>-922082.747737614</v>
      </c>
      <c r="P15" s="25" t="n">
        <f aca="false">Calculations!P32</f>
        <v>-889485.632171549</v>
      </c>
      <c r="Q15" s="25" t="n">
        <f aca="false">Calculations!Q32</f>
        <v>-826383.393801343</v>
      </c>
      <c r="R15" s="25" t="n">
        <f aca="false">Calculations!R32</f>
        <v>-2315866.6092025</v>
      </c>
      <c r="S15" s="25" t="n">
        <f aca="false">Calculations!S32</f>
        <v>-2198261.10414027</v>
      </c>
      <c r="T15" s="25" t="n">
        <f aca="false">Calculations!T32</f>
        <v>-2051131.14823112</v>
      </c>
      <c r="U15" s="25" t="n">
        <f aca="false">Calculations!U32</f>
        <v>-1877583.36032434</v>
      </c>
      <c r="V15" s="25" t="n">
        <f aca="false">Calculations!V32</f>
        <v>-202894.550948348</v>
      </c>
      <c r="W15" s="25" t="n">
        <f aca="false">Calculations!W32</f>
        <v>80484.8717296831</v>
      </c>
      <c r="X15" s="25" t="n">
        <f aca="false">Calculations!X32</f>
        <v>389426.594588967</v>
      </c>
      <c r="Y15" s="25" t="n">
        <f aca="false">Calculations!Y32</f>
        <v>723698.792569003</v>
      </c>
      <c r="Z15" s="25" t="n">
        <f aca="false">Calculations!Z32</f>
        <v>1005962.50157771</v>
      </c>
      <c r="AA15" s="25" t="n">
        <f aca="false">Calculations!AA32</f>
        <v>1472257.53818032</v>
      </c>
      <c r="AB15" s="25" t="n">
        <f aca="false">Calculations!AB32</f>
        <v>1903712.3688617</v>
      </c>
      <c r="AC15" s="25" t="n">
        <f aca="false">Calculations!AC32</f>
        <v>2390384.69868928</v>
      </c>
      <c r="AD15" s="25" t="n">
        <f aca="false">Calculations!AD32</f>
        <v>2802334.01424502</v>
      </c>
      <c r="AE15" s="25" t="n">
        <f aca="false">Calculations!AE32</f>
        <v>3309621.55001815</v>
      </c>
      <c r="AF15" s="25" t="n">
        <f aca="false">Calculations!AF32</f>
        <v>3782310.25574541</v>
      </c>
      <c r="AG15" s="25" t="n">
        <f aca="false">Calculations!AG32</f>
        <v>4310464.76466094</v>
      </c>
      <c r="AH15" s="25" t="n">
        <f aca="false">Calculations!AH32</f>
        <v>4764151.36261858</v>
      </c>
      <c r="AI15" s="25" t="n">
        <f aca="false">Calculations!AI32</f>
        <v>5313437.95805016</v>
      </c>
      <c r="AJ15" s="25" t="n">
        <f aca="false">Calculations!AJ32</f>
        <v>5828394.05272456</v>
      </c>
      <c r="AK15" s="25" t="n">
        <f aca="false">Calculations!AK32</f>
        <v>6399090.71327251</v>
      </c>
      <c r="AL15" s="25" t="n">
        <f aca="false">Calculations!AL32</f>
        <v>6895600.5434434</v>
      </c>
      <c r="AM15" s="25" t="n">
        <f aca="false">Calculations!AM32</f>
        <v>7487997.65706073</v>
      </c>
      <c r="AN15" s="25" t="n">
        <f aca="false">Calculations!AN32</f>
        <v>8046357.65164371</v>
      </c>
      <c r="AO15" s="25" t="n">
        <f aca="false">Calculations!AO32</f>
        <v>8660757.5826631</v>
      </c>
    </row>
    <row r="16" customFormat="false" ht="15" hidden="false" customHeight="false" outlineLevel="0" collapsed="false">
      <c r="A16" s="2" t="n">
        <v>14</v>
      </c>
      <c r="B16" s="2" t="s">
        <v>309</v>
      </c>
      <c r="C16" s="2" t="s">
        <v>310</v>
      </c>
      <c r="D16" s="2" t="s">
        <v>562</v>
      </c>
      <c r="E16" s="2" t="s">
        <v>312</v>
      </c>
      <c r="J16" s="31" t="n">
        <f aca="false">Calculations!J33</f>
        <v>-0.291731391585761</v>
      </c>
      <c r="K16" s="31" t="n">
        <f aca="false">Calculations!K33</f>
        <v>-0.277463025519817</v>
      </c>
      <c r="L16" s="31" t="n">
        <f aca="false">Calculations!L33</f>
        <v>-0.267005574242194</v>
      </c>
      <c r="M16" s="31" t="n">
        <f aca="false">Calculations!M33</f>
        <v>-0.263310467617038</v>
      </c>
      <c r="N16" s="31" t="n">
        <f aca="false">Calculations!N33</f>
        <v>-0.271474275448154</v>
      </c>
      <c r="O16" s="31" t="n">
        <f aca="false">Calculations!O33</f>
        <v>-0.246782431635535</v>
      </c>
      <c r="P16" s="31" t="n">
        <f aca="false">Calculations!P33</f>
        <v>-0.21729873989516</v>
      </c>
      <c r="Q16" s="31" t="n">
        <f aca="false">Calculations!Q33</f>
        <v>-0.184198019306855</v>
      </c>
      <c r="R16" s="31" t="n">
        <f aca="false">Calculations!R33</f>
        <v>-0.471494131306025</v>
      </c>
      <c r="S16" s="31" t="n">
        <f aca="false">Calculations!S33</f>
        <v>-0.409429633600761</v>
      </c>
      <c r="T16" s="31" t="n">
        <f aca="false">Calculations!T33</f>
        <v>-0.349952125647301</v>
      </c>
      <c r="U16" s="31" t="n">
        <f aca="false">Calculations!U33</f>
        <v>-0.294091396782308</v>
      </c>
      <c r="V16" s="31" t="n">
        <f aca="false">Calculations!V33</f>
        <v>-0.0292428816431648</v>
      </c>
      <c r="W16" s="31" t="n">
        <f aca="false">Calculations!W33</f>
        <v>0.0106944650423132</v>
      </c>
      <c r="X16" s="31" t="n">
        <f aca="false">Calculations!X33</f>
        <v>0.0478210464680115</v>
      </c>
      <c r="Y16" s="31" t="n">
        <f aca="false">Calculations!Y33</f>
        <v>0.082325810532374</v>
      </c>
      <c r="Z16" s="31" t="n">
        <f aca="false">Calculations!Z33</f>
        <v>0.106218429311803</v>
      </c>
      <c r="AA16" s="31" t="n">
        <f aca="false">Calculations!AA33</f>
        <v>0.144722466088123</v>
      </c>
      <c r="AB16" s="31" t="n">
        <f aca="false">Calculations!AB33</f>
        <v>0.174859630149489</v>
      </c>
      <c r="AC16" s="31" t="n">
        <f aca="false">Calculations!AC33</f>
        <v>0.205834806101003</v>
      </c>
      <c r="AD16" s="31" t="n">
        <f aca="false">Calculations!AD33</f>
        <v>0.226888587697645</v>
      </c>
      <c r="AE16" s="31" t="n">
        <f aca="false">Calculations!AE33</f>
        <v>0.252618980546279</v>
      </c>
      <c r="AF16" s="31" t="n">
        <f aca="false">Calculations!AF33</f>
        <v>0.27282543289365</v>
      </c>
      <c r="AG16" s="31" t="n">
        <f aca="false">Calculations!AG33</f>
        <v>0.294471759329812</v>
      </c>
      <c r="AH16" s="31" t="n">
        <f aca="false">Calculations!AH33</f>
        <v>0.30886409750123</v>
      </c>
      <c r="AI16" s="31" t="n">
        <f aca="false">Calculations!AI33</f>
        <v>0.327505841885882</v>
      </c>
      <c r="AJ16" s="31" t="n">
        <f aca="false">Calculations!AJ33</f>
        <v>0.342129371835394</v>
      </c>
      <c r="AK16" s="31" t="n">
        <f aca="false">Calculations!AK33</f>
        <v>0.358293217852788</v>
      </c>
      <c r="AL16" s="31" t="n">
        <f aca="false">Calculations!AL33</f>
        <v>0.368809960443691</v>
      </c>
      <c r="AM16" s="31" t="n">
        <f aca="false">Calculations!AM33</f>
        <v>0.383083620890582</v>
      </c>
      <c r="AN16" s="31" t="n">
        <f aca="false">Calculations!AN33</f>
        <v>0.394250221103096</v>
      </c>
      <c r="AO16" s="31" t="n">
        <f aca="false">Calculations!AO33</f>
        <v>0.406897313360555</v>
      </c>
    </row>
    <row r="17" customFormat="false" ht="15" hidden="false" customHeight="false" outlineLevel="0" collapsed="false">
      <c r="A17" s="2" t="n">
        <v>15</v>
      </c>
      <c r="B17" s="2" t="s">
        <v>319</v>
      </c>
      <c r="C17" s="2" t="s">
        <v>320</v>
      </c>
      <c r="D17" s="2" t="s">
        <v>561</v>
      </c>
      <c r="E17" s="2" t="s">
        <v>322</v>
      </c>
      <c r="J17" s="25" t="n">
        <f aca="false">Calculations!J36</f>
        <v>36423.3333333333</v>
      </c>
      <c r="K17" s="25" t="n">
        <f aca="false">Calculations!K36</f>
        <v>73073.7384880556</v>
      </c>
      <c r="L17" s="25" t="n">
        <f aca="false">Calculations!L36</f>
        <v>109995.663045013</v>
      </c>
      <c r="M17" s="25" t="n">
        <f aca="false">Calculations!M36</f>
        <v>147232.845178784</v>
      </c>
      <c r="N17" s="25" t="n">
        <f aca="false">Calculations!N36</f>
        <v>172332.207782229</v>
      </c>
      <c r="O17" s="25" t="n">
        <f aca="false">Calculations!O36</f>
        <v>197836.065783924</v>
      </c>
      <c r="P17" s="25" t="n">
        <f aca="false">Calculations!P36</f>
        <v>223786.120184075</v>
      </c>
      <c r="Q17" s="25" t="n">
        <f aca="false">Calculations!Q36</f>
        <v>250227.435873238</v>
      </c>
      <c r="R17" s="25" t="n">
        <f aca="false">Calculations!R36</f>
        <v>331367.13745019</v>
      </c>
      <c r="S17" s="25" t="n">
        <f aca="false">Calculations!S36</f>
        <v>413078.489425398</v>
      </c>
      <c r="T17" s="25" t="n">
        <f aca="false">Calculations!T36</f>
        <v>495404.959954893</v>
      </c>
      <c r="U17" s="25" t="n">
        <f aca="false">Calculations!U36</f>
        <v>578385.401498182</v>
      </c>
      <c r="V17" s="25" t="n">
        <f aca="false">Calculations!V36</f>
        <v>575634.886110091</v>
      </c>
      <c r="W17" s="25" t="n">
        <f aca="false">Calculations!W36</f>
        <v>573391.785506279</v>
      </c>
      <c r="X17" s="25" t="n">
        <f aca="false">Calculations!X36</f>
        <v>571649.128848903</v>
      </c>
      <c r="Y17" s="25" t="n">
        <f aca="false">Calculations!Y36</f>
        <v>570400.280566464</v>
      </c>
      <c r="Z17" s="25" t="n">
        <f aca="false">Calculations!Z36</f>
        <v>582139.288527518</v>
      </c>
      <c r="AA17" s="25" t="n">
        <f aca="false">Calculations!AA36</f>
        <v>594351.645032593</v>
      </c>
      <c r="AB17" s="25" t="n">
        <f aca="false">Calculations!AB36</f>
        <v>607010.451974782</v>
      </c>
      <c r="AC17" s="25" t="n">
        <f aca="false">Calculations!AC36</f>
        <v>620085.538685975</v>
      </c>
      <c r="AD17" s="25" t="n">
        <f aca="false">Calculations!AD36</f>
        <v>579384.769288699</v>
      </c>
      <c r="AE17" s="25" t="n">
        <f aca="false">Calculations!AE36</f>
        <v>539049.965617884</v>
      </c>
      <c r="AF17" s="25" t="n">
        <f aca="false">Calculations!AF36</f>
        <v>499052.846569799</v>
      </c>
      <c r="AG17" s="25" t="n">
        <f aca="false">Calculations!AG36</f>
        <v>459369.850486437</v>
      </c>
      <c r="AH17" s="25" t="n">
        <f aca="false">Calculations!AH36</f>
        <v>469977.96953404</v>
      </c>
      <c r="AI17" s="25" t="n">
        <f aca="false">Calculations!AI36</f>
        <v>480850.600783106</v>
      </c>
      <c r="AJ17" s="25" t="n">
        <f aca="false">Calculations!AJ36</f>
        <v>491965.887416571</v>
      </c>
      <c r="AK17" s="25" t="n">
        <f aca="false">Calculations!AK36</f>
        <v>503302.462307656</v>
      </c>
      <c r="AL17" s="25" t="n">
        <f aca="false">Calculations!AL36</f>
        <v>514835.208588632</v>
      </c>
      <c r="AM17" s="25" t="n">
        <f aca="false">Calculations!AM36</f>
        <v>526552.294178498</v>
      </c>
      <c r="AN17" s="25" t="n">
        <f aca="false">Calculations!AN36</f>
        <v>538455.015395106</v>
      </c>
      <c r="AO17" s="25" t="n">
        <f aca="false">Calculations!AO36</f>
        <v>550544.704071924</v>
      </c>
    </row>
    <row r="18" customFormat="false" ht="15" hidden="false" customHeight="false" outlineLevel="0" collapsed="false">
      <c r="A18" s="2" t="n">
        <v>16</v>
      </c>
      <c r="B18" s="2" t="s">
        <v>324</v>
      </c>
      <c r="C18" s="2" t="s">
        <v>325</v>
      </c>
      <c r="D18" s="2" t="s">
        <v>561</v>
      </c>
      <c r="E18" s="2" t="s">
        <v>327</v>
      </c>
      <c r="J18" s="25" t="n">
        <f aca="false">Calculations!J37</f>
        <v>-757583.333333333</v>
      </c>
      <c r="K18" s="25" t="n">
        <f aca="false">Calculations!K37</f>
        <v>-809365.565231343</v>
      </c>
      <c r="L18" s="25" t="n">
        <f aca="false">Calculations!L37</f>
        <v>-876534.75135236</v>
      </c>
      <c r="M18" s="25" t="n">
        <f aca="false">Calculations!M37</f>
        <v>-969572.247698362</v>
      </c>
      <c r="N18" s="25" t="n">
        <f aca="false">Calculations!N37</f>
        <v>-1098825.97189765</v>
      </c>
      <c r="O18" s="25" t="n">
        <f aca="false">Calculations!O37</f>
        <v>-1119918.81352154</v>
      </c>
      <c r="P18" s="25" t="n">
        <f aca="false">Calculations!P37</f>
        <v>-1113271.75235562</v>
      </c>
      <c r="Q18" s="25" t="n">
        <f aca="false">Calculations!Q37</f>
        <v>-1076610.82967458</v>
      </c>
      <c r="R18" s="25" t="n">
        <f aca="false">Calculations!R37</f>
        <v>-2647233.74665268</v>
      </c>
      <c r="S18" s="25" t="n">
        <f aca="false">Calculations!S37</f>
        <v>-2611339.59356567</v>
      </c>
      <c r="T18" s="25" t="n">
        <f aca="false">Calculations!T37</f>
        <v>-2546536.10818602</v>
      </c>
      <c r="U18" s="25" t="n">
        <f aca="false">Calculations!U37</f>
        <v>-2455968.76182252</v>
      </c>
      <c r="V18" s="25" t="n">
        <f aca="false">Calculations!V37</f>
        <v>-778529.437058439</v>
      </c>
      <c r="W18" s="25" t="n">
        <f aca="false">Calculations!W37</f>
        <v>-492906.913776596</v>
      </c>
      <c r="X18" s="25" t="n">
        <f aca="false">Calculations!X37</f>
        <v>-182222.534259936</v>
      </c>
      <c r="Y18" s="25" t="n">
        <f aca="false">Calculations!Y37</f>
        <v>153298.512002539</v>
      </c>
      <c r="Z18" s="25" t="n">
        <f aca="false">Calculations!Z37</f>
        <v>423823.213050197</v>
      </c>
      <c r="AA18" s="25" t="n">
        <f aca="false">Calculations!AA37</f>
        <v>877905.893147729</v>
      </c>
      <c r="AB18" s="25" t="n">
        <f aca="false">Calculations!AB37</f>
        <v>1296701.91688692</v>
      </c>
      <c r="AC18" s="25" t="n">
        <f aca="false">Calculations!AC37</f>
        <v>1770299.1600033</v>
      </c>
      <c r="AD18" s="25" t="n">
        <f aca="false">Calculations!AD37</f>
        <v>2222949.24495632</v>
      </c>
      <c r="AE18" s="25" t="n">
        <f aca="false">Calculations!AE37</f>
        <v>2770571.58440027</v>
      </c>
      <c r="AF18" s="25" t="n">
        <f aca="false">Calculations!AF37</f>
        <v>3283257.40917561</v>
      </c>
      <c r="AG18" s="25" t="n">
        <f aca="false">Calculations!AG37</f>
        <v>3851094.9141745</v>
      </c>
      <c r="AH18" s="25" t="n">
        <f aca="false">Calculations!AH37</f>
        <v>4294173.39308454</v>
      </c>
      <c r="AI18" s="25" t="n">
        <f aca="false">Calculations!AI37</f>
        <v>4832587.35726705</v>
      </c>
      <c r="AJ18" s="25" t="n">
        <f aca="false">Calculations!AJ37</f>
        <v>5336428.16530798</v>
      </c>
      <c r="AK18" s="25" t="n">
        <f aca="false">Calculations!AK37</f>
        <v>5895788.25096485</v>
      </c>
      <c r="AL18" s="25" t="n">
        <f aca="false">Calculations!AL37</f>
        <v>6380765.33485477</v>
      </c>
      <c r="AM18" s="25" t="n">
        <f aca="false">Calculations!AM37</f>
        <v>6961445.36288223</v>
      </c>
      <c r="AN18" s="25" t="n">
        <f aca="false">Calculations!AN37</f>
        <v>7507902.6362486</v>
      </c>
      <c r="AO18" s="25" t="n">
        <f aca="false">Calculations!AO37</f>
        <v>8110212.87859117</v>
      </c>
    </row>
    <row r="19" customFormat="false" ht="15" hidden="false" customHeight="false" outlineLevel="0" collapsed="false">
      <c r="A19" s="2" t="n">
        <v>17</v>
      </c>
      <c r="B19" s="2" t="s">
        <v>341</v>
      </c>
      <c r="C19" s="2" t="s">
        <v>342</v>
      </c>
      <c r="D19" s="2" t="s">
        <v>561</v>
      </c>
      <c r="E19" s="2" t="s">
        <v>344</v>
      </c>
      <c r="J19" s="25" t="n">
        <f aca="false">Calculations!J41</f>
        <v>0</v>
      </c>
      <c r="K19" s="25" t="n">
        <f aca="false">Calculations!K41</f>
        <v>0</v>
      </c>
      <c r="L19" s="25" t="n">
        <f aca="false">Calculations!L41</f>
        <v>0</v>
      </c>
      <c r="M19" s="25" t="n">
        <f aca="false">Calculations!M41</f>
        <v>0</v>
      </c>
      <c r="N19" s="25" t="n">
        <f aca="false">Calculations!N41</f>
        <v>0</v>
      </c>
      <c r="O19" s="25" t="n">
        <f aca="false">Calculations!O41</f>
        <v>0</v>
      </c>
      <c r="P19" s="25" t="n">
        <f aca="false">Calculations!P41</f>
        <v>0</v>
      </c>
      <c r="Q19" s="25" t="n">
        <f aca="false">Calculations!Q41</f>
        <v>0</v>
      </c>
      <c r="R19" s="25" t="n">
        <f aca="false">Calculations!R41</f>
        <v>0</v>
      </c>
      <c r="S19" s="25" t="n">
        <f aca="false">Calculations!S41</f>
        <v>0</v>
      </c>
      <c r="T19" s="25" t="n">
        <f aca="false">Calculations!T41</f>
        <v>0</v>
      </c>
      <c r="U19" s="25" t="n">
        <f aca="false">Calculations!U41</f>
        <v>0</v>
      </c>
      <c r="V19" s="25" t="n">
        <f aca="false">Calculations!V41</f>
        <v>0</v>
      </c>
      <c r="W19" s="25" t="n">
        <f aca="false">Calculations!W41</f>
        <v>0</v>
      </c>
      <c r="X19" s="25" t="n">
        <f aca="false">Calculations!X41</f>
        <v>0</v>
      </c>
      <c r="Y19" s="25" t="n">
        <f aca="false">Calculations!Y41</f>
        <v>0</v>
      </c>
      <c r="Z19" s="25" t="n">
        <f aca="false">Calculations!Z41</f>
        <v>0</v>
      </c>
      <c r="AA19" s="25" t="n">
        <f aca="false">Calculations!AA41</f>
        <v>0</v>
      </c>
      <c r="AB19" s="25" t="n">
        <f aca="false">Calculations!AB41</f>
        <v>0</v>
      </c>
      <c r="AC19" s="25" t="n">
        <f aca="false">Calculations!AC41</f>
        <v>0</v>
      </c>
      <c r="AD19" s="25" t="n">
        <f aca="false">Calculations!AD41</f>
        <v>0</v>
      </c>
      <c r="AE19" s="25" t="n">
        <f aca="false">Calculations!AE41</f>
        <v>0</v>
      </c>
      <c r="AF19" s="25" t="n">
        <f aca="false">Calculations!AF41</f>
        <v>0</v>
      </c>
      <c r="AG19" s="25" t="n">
        <f aca="false">Calculations!AG41</f>
        <v>0</v>
      </c>
      <c r="AH19" s="25" t="n">
        <f aca="false">Calculations!AH41</f>
        <v>351913.720123819</v>
      </c>
      <c r="AI19" s="25" t="n">
        <f aca="false">Calculations!AI41</f>
        <v>1208146.83931676</v>
      </c>
      <c r="AJ19" s="25" t="n">
        <f aca="false">Calculations!AJ41</f>
        <v>1334107.041327</v>
      </c>
      <c r="AK19" s="25" t="n">
        <f aca="false">Calculations!AK41</f>
        <v>1473947.06274121</v>
      </c>
      <c r="AL19" s="25" t="n">
        <f aca="false">Calculations!AL41</f>
        <v>1595191.33371369</v>
      </c>
      <c r="AM19" s="25" t="n">
        <f aca="false">Calculations!AM41</f>
        <v>1740361.34072056</v>
      </c>
      <c r="AN19" s="25" t="n">
        <f aca="false">Calculations!AN41</f>
        <v>1876975.65906215</v>
      </c>
      <c r="AO19" s="25" t="n">
        <f aca="false">Calculations!AO41</f>
        <v>2027553.21964779</v>
      </c>
    </row>
    <row r="20" customFormat="false" ht="15" hidden="false" customHeight="false" outlineLevel="0" collapsed="false">
      <c r="A20" s="2" t="n">
        <v>18</v>
      </c>
      <c r="B20" s="2" t="s">
        <v>346</v>
      </c>
      <c r="C20" s="2" t="s">
        <v>347</v>
      </c>
      <c r="D20" s="2" t="s">
        <v>561</v>
      </c>
      <c r="E20" s="2" t="s">
        <v>349</v>
      </c>
      <c r="J20" s="25" t="n">
        <f aca="false">Calculations!J42</f>
        <v>-757583.333333333</v>
      </c>
      <c r="K20" s="25" t="n">
        <f aca="false">Calculations!K42</f>
        <v>-809365.565231343</v>
      </c>
      <c r="L20" s="25" t="n">
        <f aca="false">Calculations!L42</f>
        <v>-876534.75135236</v>
      </c>
      <c r="M20" s="25" t="n">
        <f aca="false">Calculations!M42</f>
        <v>-969572.247698362</v>
      </c>
      <c r="N20" s="25" t="n">
        <f aca="false">Calculations!N42</f>
        <v>-1098825.97189765</v>
      </c>
      <c r="O20" s="25" t="n">
        <f aca="false">Calculations!O42</f>
        <v>-1119918.81352154</v>
      </c>
      <c r="P20" s="25" t="n">
        <f aca="false">Calculations!P42</f>
        <v>-1113271.75235562</v>
      </c>
      <c r="Q20" s="25" t="n">
        <f aca="false">Calculations!Q42</f>
        <v>-1076610.82967458</v>
      </c>
      <c r="R20" s="25" t="n">
        <f aca="false">Calculations!R42</f>
        <v>-2647233.74665268</v>
      </c>
      <c r="S20" s="25" t="n">
        <f aca="false">Calculations!S42</f>
        <v>-2611339.59356567</v>
      </c>
      <c r="T20" s="25" t="n">
        <f aca="false">Calculations!T42</f>
        <v>-2546536.10818602</v>
      </c>
      <c r="U20" s="25" t="n">
        <f aca="false">Calculations!U42</f>
        <v>-2455968.76182252</v>
      </c>
      <c r="V20" s="25" t="n">
        <f aca="false">Calculations!V42</f>
        <v>-778529.437058439</v>
      </c>
      <c r="W20" s="25" t="n">
        <f aca="false">Calculations!W42</f>
        <v>-492906.913776596</v>
      </c>
      <c r="X20" s="25" t="n">
        <f aca="false">Calculations!X42</f>
        <v>-182222.534259936</v>
      </c>
      <c r="Y20" s="25" t="n">
        <f aca="false">Calculations!Y42</f>
        <v>153298.512002539</v>
      </c>
      <c r="Z20" s="25" t="n">
        <f aca="false">Calculations!Z42</f>
        <v>423823.213050197</v>
      </c>
      <c r="AA20" s="25" t="n">
        <f aca="false">Calculations!AA42</f>
        <v>877905.893147729</v>
      </c>
      <c r="AB20" s="25" t="n">
        <f aca="false">Calculations!AB42</f>
        <v>1296701.91688692</v>
      </c>
      <c r="AC20" s="25" t="n">
        <f aca="false">Calculations!AC42</f>
        <v>1770299.1600033</v>
      </c>
      <c r="AD20" s="25" t="n">
        <f aca="false">Calculations!AD42</f>
        <v>2222949.24495632</v>
      </c>
      <c r="AE20" s="25" t="n">
        <f aca="false">Calculations!AE42</f>
        <v>2770571.58440027</v>
      </c>
      <c r="AF20" s="25" t="n">
        <f aca="false">Calculations!AF42</f>
        <v>3283257.40917561</v>
      </c>
      <c r="AG20" s="25" t="n">
        <f aca="false">Calculations!AG42</f>
        <v>3851094.9141745</v>
      </c>
      <c r="AH20" s="25" t="n">
        <f aca="false">Calculations!AH42</f>
        <v>3942259.67296072</v>
      </c>
      <c r="AI20" s="25" t="n">
        <f aca="false">Calculations!AI42</f>
        <v>3624440.51795029</v>
      </c>
      <c r="AJ20" s="25" t="n">
        <f aca="false">Calculations!AJ42</f>
        <v>4002321.12398099</v>
      </c>
      <c r="AK20" s="25" t="n">
        <f aca="false">Calculations!AK42</f>
        <v>4421841.18822364</v>
      </c>
      <c r="AL20" s="25" t="n">
        <f aca="false">Calculations!AL42</f>
        <v>4785574.00114107</v>
      </c>
      <c r="AM20" s="25" t="n">
        <f aca="false">Calculations!AM42</f>
        <v>5221084.02216167</v>
      </c>
      <c r="AN20" s="25" t="n">
        <f aca="false">Calculations!AN42</f>
        <v>5630926.97718645</v>
      </c>
      <c r="AO20" s="25" t="n">
        <f aca="false">Calculations!AO42</f>
        <v>6082659.65894338</v>
      </c>
    </row>
    <row r="21" customFormat="false" ht="15" hidden="false" customHeight="false" outlineLevel="0" collapsed="false">
      <c r="A21" s="2" t="n">
        <v>19</v>
      </c>
      <c r="B21" s="2" t="s">
        <v>316</v>
      </c>
      <c r="C21" s="2" t="s">
        <v>130</v>
      </c>
      <c r="D21" s="2" t="s">
        <v>561</v>
      </c>
      <c r="E21" s="2" t="s">
        <v>318</v>
      </c>
      <c r="J21" s="25" t="n">
        <f aca="false">Calculations!J35</f>
        <v>437080</v>
      </c>
      <c r="K21" s="25" t="n">
        <f aca="false">Calculations!K35</f>
        <v>439804.861856667</v>
      </c>
      <c r="L21" s="25" t="n">
        <f aca="false">Calculations!L35</f>
        <v>443063.094683486</v>
      </c>
      <c r="M21" s="25" t="n">
        <f aca="false">Calculations!M35</f>
        <v>446846.185605253</v>
      </c>
      <c r="N21" s="25" t="n">
        <f aca="false">Calculations!N35</f>
        <v>301192.351241344</v>
      </c>
      <c r="O21" s="25" t="n">
        <f aca="false">Calculations!O35</f>
        <v>306046.296020339</v>
      </c>
      <c r="P21" s="25" t="n">
        <f aca="false">Calculations!P35</f>
        <v>311400.652801809</v>
      </c>
      <c r="Q21" s="25" t="n">
        <f aca="false">Calculations!Q35</f>
        <v>317295.78826996</v>
      </c>
      <c r="R21" s="25" t="n">
        <f aca="false">Calculations!R35</f>
        <v>973676.418923422</v>
      </c>
      <c r="S21" s="25" t="n">
        <f aca="false">Calculations!S35</f>
        <v>980536.223702501</v>
      </c>
      <c r="T21" s="25" t="n">
        <f aca="false">Calculations!T35</f>
        <v>987917.646353934</v>
      </c>
      <c r="U21" s="25" t="n">
        <f aca="false">Calculations!U35</f>
        <v>995765.298519468</v>
      </c>
      <c r="V21" s="25" t="n">
        <f aca="false">Calculations!V35</f>
        <v>404073.815342907</v>
      </c>
      <c r="W21" s="25" t="n">
        <f aca="false">Calculations!W35</f>
        <v>412887.654610924</v>
      </c>
      <c r="X21" s="25" t="n">
        <f aca="false">Calculations!X35</f>
        <v>422151.214794974</v>
      </c>
      <c r="Y21" s="25" t="n">
        <f aca="false">Calculations!Y35</f>
        <v>431860.006215988</v>
      </c>
      <c r="Z21" s="25" t="n">
        <f aca="false">Calculations!Z35</f>
        <v>442060.446773986</v>
      </c>
      <c r="AA21" s="25" t="n">
        <f aca="false">Calculations!AA35</f>
        <v>452594.574081247</v>
      </c>
      <c r="AB21" s="25" t="n">
        <f aca="false">Calculations!AB35</f>
        <v>463306.336108071</v>
      </c>
      <c r="AC21" s="25" t="n">
        <f aca="false">Calculations!AC35</f>
        <v>474196.828804283</v>
      </c>
      <c r="AD21" s="25" t="n">
        <f aca="false">Calculations!AD35</f>
        <v>485267.186156105</v>
      </c>
      <c r="AE21" s="25" t="n">
        <f aca="false">Calculations!AE35</f>
        <v>496518.579652718</v>
      </c>
      <c r="AF21" s="25" t="n">
        <f aca="false">Calculations!AF35</f>
        <v>507952.217776914</v>
      </c>
      <c r="AG21" s="25" t="n">
        <f aca="false">Calculations!AG35</f>
        <v>519569.345519132</v>
      </c>
      <c r="AH21" s="25" t="n">
        <f aca="false">Calculations!AH35</f>
        <v>531371.243914143</v>
      </c>
      <c r="AI21" s="25" t="n">
        <f aca="false">Calculations!AI35</f>
        <v>543359.229599709</v>
      </c>
      <c r="AJ21" s="25" t="n">
        <f aca="false">Calculations!AJ35</f>
        <v>555534.654396556</v>
      </c>
      <c r="AK21" s="25" t="n">
        <f aca="false">Calculations!AK35</f>
        <v>567898.904909011</v>
      </c>
      <c r="AL21" s="25" t="n">
        <f aca="false">Calculations!AL35</f>
        <v>580453.402145691</v>
      </c>
      <c r="AM21" s="25" t="n">
        <f aca="false">Calculations!AM35</f>
        <v>593199.601159644</v>
      </c>
      <c r="AN21" s="25" t="n">
        <f aca="false">Calculations!AN35</f>
        <v>606138.99070736</v>
      </c>
      <c r="AO21" s="25" t="n">
        <f aca="false">Calculations!AO35</f>
        <v>619273.092926104</v>
      </c>
    </row>
    <row r="22" customFormat="false" ht="15" hidden="false" customHeight="false" outlineLevel="0" collapsed="false">
      <c r="A22" s="2" t="n">
        <v>20</v>
      </c>
      <c r="B22" s="2" t="s">
        <v>369</v>
      </c>
      <c r="C22" s="2" t="s">
        <v>370</v>
      </c>
      <c r="D22" s="2" t="s">
        <v>561</v>
      </c>
      <c r="E22" s="2" t="s">
        <v>372</v>
      </c>
      <c r="J22" s="25" t="n">
        <f aca="false">Calculations!J47</f>
        <v>-587362.191780822</v>
      </c>
      <c r="K22" s="25" t="n">
        <f aca="false">Calculations!K47</f>
        <v>-33148.9175064906</v>
      </c>
      <c r="L22" s="25" t="n">
        <f aca="false">Calculations!L47</f>
        <v>-38813.5324711383</v>
      </c>
      <c r="M22" s="25" t="n">
        <f aca="false">Calculations!M47</f>
        <v>-44374.7985649169</v>
      </c>
      <c r="N22" s="25" t="n">
        <f aca="false">Calculations!N47</f>
        <v>-50322.9565316902</v>
      </c>
      <c r="O22" s="25" t="n">
        <f aca="false">Calculations!O47</f>
        <v>-55678.0621698864</v>
      </c>
      <c r="P22" s="25" t="n">
        <f aca="false">Calculations!P47</f>
        <v>-60943.9123716543</v>
      </c>
      <c r="Q22" s="25" t="n">
        <f aca="false">Calculations!Q47</f>
        <v>-66619.6365972045</v>
      </c>
      <c r="R22" s="25" t="n">
        <f aca="false">Calculations!R47</f>
        <v>-71705.9473283023</v>
      </c>
      <c r="S22" s="25" t="n">
        <f aca="false">Calculations!S47</f>
        <v>-76715.8083582968</v>
      </c>
      <c r="T22" s="25" t="n">
        <f aca="false">Calculations!T47</f>
        <v>-82157.4942358579</v>
      </c>
      <c r="U22" s="25" t="n">
        <f aca="false">Calculations!U47</f>
        <v>-87011.9956324676</v>
      </c>
      <c r="V22" s="25" t="n">
        <f aca="false">Calculations!V47</f>
        <v>-91801.7019269366</v>
      </c>
      <c r="W22" s="25" t="n">
        <f aca="false">Calculations!W47</f>
        <v>-97044.2890948257</v>
      </c>
      <c r="X22" s="25" t="n">
        <f aca="false">Calculations!X47</f>
        <v>-101700.633446077</v>
      </c>
      <c r="Y22" s="25" t="n">
        <f aca="false">Calculations!Y47</f>
        <v>-106302.809055181</v>
      </c>
      <c r="Z22" s="25" t="n">
        <f aca="false">Calculations!Z47</f>
        <v>-111378.150229412</v>
      </c>
      <c r="AA22" s="25" t="n">
        <f aca="false">Calculations!AA47</f>
        <v>-114811.904286737</v>
      </c>
      <c r="AB22" s="25" t="n">
        <f aca="false">Calculations!AB47</f>
        <v>-116630.404938541</v>
      </c>
      <c r="AC22" s="25" t="n">
        <f aca="false">Calculations!AC47</f>
        <v>-118461.761645297</v>
      </c>
      <c r="AD22" s="25" t="n">
        <f aca="false">Calculations!AD47</f>
        <v>-120306.493322275</v>
      </c>
      <c r="AE22" s="25" t="n">
        <f aca="false">Calculations!AE47</f>
        <v>-122165.114441964</v>
      </c>
      <c r="AF22" s="25" t="n">
        <f aca="false">Calculations!AF47</f>
        <v>-124038.135422485</v>
      </c>
      <c r="AG22" s="25" t="n">
        <f aca="false">Calculations!AG47</f>
        <v>-125926.063007254</v>
      </c>
      <c r="AH22" s="25" t="n">
        <f aca="false">Calculations!AH47</f>
        <v>-127829.40063616</v>
      </c>
      <c r="AI22" s="25" t="n">
        <f aca="false">Calculations!AI47</f>
        <v>-129748.648808797</v>
      </c>
      <c r="AJ22" s="25" t="n">
        <f aca="false">Calculations!AJ47</f>
        <v>-131684.305440144</v>
      </c>
      <c r="AK22" s="25" t="n">
        <f aca="false">Calculations!AK47</f>
        <v>-133636.866208959</v>
      </c>
      <c r="AL22" s="25" t="n">
        <f aca="false">Calculations!AL47</f>
        <v>-135606.824899463</v>
      </c>
      <c r="AM22" s="25" t="n">
        <f aca="false">Calculations!AM47</f>
        <v>-137594.673736488</v>
      </c>
      <c r="AN22" s="25" t="n">
        <f aca="false">Calculations!AN47</f>
        <v>-139600.903714619</v>
      </c>
      <c r="AO22" s="25" t="n">
        <f aca="false">Calculations!AO47</f>
        <v>-141626.004921523</v>
      </c>
    </row>
    <row r="23" customFormat="false" ht="15" hidden="false" customHeight="false" outlineLevel="0" collapsed="false">
      <c r="A23" s="2" t="n">
        <v>21</v>
      </c>
      <c r="B23" s="2" t="s">
        <v>374</v>
      </c>
      <c r="C23" s="2" t="s">
        <v>375</v>
      </c>
      <c r="D23" s="2" t="s">
        <v>561</v>
      </c>
      <c r="E23" s="2" t="s">
        <v>377</v>
      </c>
      <c r="J23" s="25" t="n">
        <f aca="false">Calculations!J48</f>
        <v>-570877.808219178</v>
      </c>
      <c r="K23" s="25" t="n">
        <f aca="false">Calculations!K48</f>
        <v>-1142947.77109346</v>
      </c>
      <c r="L23" s="25" t="n">
        <f aca="false">Calculations!L48</f>
        <v>-1170788.65051969</v>
      </c>
      <c r="M23" s="25" t="n">
        <f aca="false">Calculations!M48</f>
        <v>-1224810.78955991</v>
      </c>
      <c r="N23" s="25" t="n">
        <f aca="false">Calculations!N48</f>
        <v>-1177363.15882507</v>
      </c>
      <c r="O23" s="25" t="n">
        <f aca="false">Calculations!O48</f>
        <v>-1172450.98158807</v>
      </c>
      <c r="P23" s="25" t="n">
        <f aca="false">Calculations!P48</f>
        <v>-1139942.3726017</v>
      </c>
      <c r="Q23" s="25" t="n">
        <f aca="false">Calculations!Q48</f>
        <v>-1077059.5454741</v>
      </c>
      <c r="R23" s="25" t="n">
        <f aca="false">Calculations!R48</f>
        <v>-3217837.08079761</v>
      </c>
      <c r="S23" s="25" t="n">
        <f aca="false">Calculations!S48</f>
        <v>-3102081.51948447</v>
      </c>
      <c r="T23" s="25" t="n">
        <f aca="false">Calculations!T48</f>
        <v>-2956891.3003492</v>
      </c>
      <c r="U23" s="25" t="n">
        <f aca="false">Calculations!U48</f>
        <v>-2786336.66321134</v>
      </c>
      <c r="V23" s="25" t="n">
        <f aca="false">Calculations!V48</f>
        <v>-515166.664364318</v>
      </c>
      <c r="W23" s="25" t="n">
        <f aca="false">Calculations!W48</f>
        <v>-235358.493786415</v>
      </c>
      <c r="X23" s="25" t="n">
        <f aca="false">Calculations!X48</f>
        <v>68976.0132400706</v>
      </c>
      <c r="Y23" s="25" t="n">
        <f aca="false">Calculations!Y48</f>
        <v>398141.595408196</v>
      </c>
      <c r="Z23" s="25" t="n">
        <f aca="false">Calculations!Z48</f>
        <v>675280.20503314</v>
      </c>
      <c r="AA23" s="25" t="n">
        <f aca="false">Calculations!AA48</f>
        <v>1134474.86838581</v>
      </c>
      <c r="AB23" s="25" t="n">
        <f aca="false">Calculations!AB48</f>
        <v>1557036.43769217</v>
      </c>
      <c r="AC23" s="25" t="n">
        <f aca="false">Calculations!AC48</f>
        <v>2034649.63153029</v>
      </c>
      <c r="AD23" s="25" t="n">
        <f aca="false">Calculations!AD48</f>
        <v>2437373.32141119</v>
      </c>
      <c r="AE23" s="25" t="n">
        <f aca="false">Calculations!AE48</f>
        <v>2935268.0848074</v>
      </c>
      <c r="AF23" s="25" t="n">
        <f aca="false">Calculations!AF48</f>
        <v>3398396.17339098</v>
      </c>
      <c r="AG23" s="25" t="n">
        <f aca="false">Calculations!AG48</f>
        <v>3916821.48214906</v>
      </c>
      <c r="AH23" s="25" t="n">
        <f aca="false">Calculations!AH48</f>
        <v>4008695.79921678</v>
      </c>
      <c r="AI23" s="25" t="n">
        <f aca="false">Calculations!AI48</f>
        <v>3691680.53794248</v>
      </c>
      <c r="AJ23" s="25" t="n">
        <f aca="false">Calculations!AJ48</f>
        <v>4070436.66244115</v>
      </c>
      <c r="AK23" s="25" t="n">
        <f aca="false">Calculations!AK48</f>
        <v>4490881.61183124</v>
      </c>
      <c r="AL23" s="25" t="n">
        <f aca="false">Calculations!AL48</f>
        <v>4855562.63248348</v>
      </c>
      <c r="AM23" s="25" t="n">
        <f aca="false">Calculations!AM48</f>
        <v>5292031.38891701</v>
      </c>
      <c r="AN23" s="25" t="n">
        <f aca="false">Calculations!AN48</f>
        <v>5702843.90558881</v>
      </c>
      <c r="AO23" s="25" t="n">
        <f aca="false">Calculations!AO48</f>
        <v>6155557.27501072</v>
      </c>
    </row>
    <row r="24" customFormat="false" ht="15" hidden="false" customHeight="false" outlineLevel="0" collapsed="false">
      <c r="A24" s="2" t="n">
        <v>22</v>
      </c>
      <c r="B24" s="2" t="s">
        <v>156</v>
      </c>
      <c r="C24" s="2" t="s">
        <v>157</v>
      </c>
      <c r="D24" s="2" t="s">
        <v>561</v>
      </c>
      <c r="E24" s="2" t="s">
        <v>563</v>
      </c>
      <c r="J24" s="25" t="n">
        <f aca="false">Driver_Series!J8</f>
        <v>0</v>
      </c>
      <c r="K24" s="25" t="n">
        <f aca="false">Driver_Series!K8</f>
        <v>0</v>
      </c>
      <c r="L24" s="25" t="n">
        <f aca="false">Driver_Series!L8</f>
        <v>0</v>
      </c>
      <c r="M24" s="25" t="n">
        <f aca="false">Driver_Series!M8</f>
        <v>0</v>
      </c>
      <c r="N24" s="25" t="n">
        <f aca="false">Driver_Series!N8</f>
        <v>0</v>
      </c>
      <c r="O24" s="25" t="n">
        <f aca="false">Driver_Series!O8</f>
        <v>30000000</v>
      </c>
      <c r="P24" s="25" t="n">
        <f aca="false">Driver_Series!P8</f>
        <v>0</v>
      </c>
      <c r="Q24" s="25" t="n">
        <f aca="false">Driver_Series!Q8</f>
        <v>0</v>
      </c>
      <c r="R24" s="25" t="n">
        <f aca="false">Driver_Series!R8</f>
        <v>0</v>
      </c>
      <c r="S24" s="25" t="n">
        <f aca="false">Driver_Series!S8</f>
        <v>0</v>
      </c>
      <c r="T24" s="25" t="n">
        <f aca="false">Driver_Series!T8</f>
        <v>0</v>
      </c>
      <c r="U24" s="25" t="n">
        <f aca="false">Driver_Series!U8</f>
        <v>0</v>
      </c>
      <c r="V24" s="25" t="n">
        <f aca="false">Driver_Series!V8</f>
        <v>0</v>
      </c>
      <c r="W24" s="25" t="n">
        <f aca="false">Driver_Series!W8</f>
        <v>40000000</v>
      </c>
      <c r="X24" s="25" t="n">
        <f aca="false">Driver_Series!X8</f>
        <v>0</v>
      </c>
      <c r="Y24" s="25" t="n">
        <f aca="false">Driver_Series!Y8</f>
        <v>0</v>
      </c>
      <c r="Z24" s="25" t="n">
        <f aca="false">Driver_Series!Z8</f>
        <v>0</v>
      </c>
      <c r="AA24" s="25" t="n">
        <f aca="false">Driver_Series!AA8</f>
        <v>0</v>
      </c>
      <c r="AB24" s="25" t="n">
        <f aca="false">Driver_Series!AB8</f>
        <v>0</v>
      </c>
      <c r="AC24" s="25" t="n">
        <f aca="false">Driver_Series!AC8</f>
        <v>0</v>
      </c>
      <c r="AD24" s="25" t="n">
        <f aca="false">Driver_Series!AD8</f>
        <v>0</v>
      </c>
      <c r="AE24" s="25" t="n">
        <f aca="false">Driver_Series!AE8</f>
        <v>0</v>
      </c>
      <c r="AF24" s="25" t="n">
        <f aca="false">Driver_Series!AF8</f>
        <v>0</v>
      </c>
      <c r="AG24" s="25" t="n">
        <f aca="false">Driver_Series!AG8</f>
        <v>0</v>
      </c>
      <c r="AH24" s="25" t="n">
        <f aca="false">Driver_Series!AH8</f>
        <v>0</v>
      </c>
      <c r="AI24" s="25" t="n">
        <f aca="false">Driver_Series!AI8</f>
        <v>0</v>
      </c>
      <c r="AJ24" s="25" t="n">
        <f aca="false">Driver_Series!AJ8</f>
        <v>0</v>
      </c>
      <c r="AK24" s="25" t="n">
        <f aca="false">Driver_Series!AK8</f>
        <v>0</v>
      </c>
      <c r="AL24" s="25" t="n">
        <f aca="false">Driver_Series!AL8</f>
        <v>0</v>
      </c>
      <c r="AM24" s="25" t="n">
        <f aca="false">Driver_Series!AM8</f>
        <v>0</v>
      </c>
      <c r="AN24" s="25" t="n">
        <f aca="false">Driver_Series!AN8</f>
        <v>0</v>
      </c>
      <c r="AO24" s="25" t="n">
        <f aca="false">Driver_Series!AO8</f>
        <v>0</v>
      </c>
    </row>
    <row r="25" customFormat="false" ht="15" hidden="false" customHeight="false" outlineLevel="0" collapsed="false">
      <c r="A25" s="2" t="n">
        <v>23</v>
      </c>
      <c r="B25" s="2" t="s">
        <v>387</v>
      </c>
      <c r="C25" s="2" t="s">
        <v>388</v>
      </c>
      <c r="D25" s="2" t="s">
        <v>561</v>
      </c>
      <c r="E25" s="2" t="s">
        <v>390</v>
      </c>
      <c r="J25" s="25" t="n">
        <f aca="false">Calculations!J51</f>
        <v>24429122.1917808</v>
      </c>
      <c r="K25" s="25" t="n">
        <f aca="false">Calculations!K51</f>
        <v>23286174.4206874</v>
      </c>
      <c r="L25" s="25" t="n">
        <f aca="false">Calculations!L51</f>
        <v>22115385.7701677</v>
      </c>
      <c r="M25" s="25" t="n">
        <f aca="false">Calculations!M51</f>
        <v>20890574.9806077</v>
      </c>
      <c r="N25" s="25" t="n">
        <f aca="false">Calculations!N51</f>
        <v>19713211.8217827</v>
      </c>
      <c r="O25" s="25" t="n">
        <f aca="false">Calculations!O51</f>
        <v>48540760.8401946</v>
      </c>
      <c r="P25" s="25" t="n">
        <f aca="false">Calculations!P51</f>
        <v>47400818.4675929</v>
      </c>
      <c r="Q25" s="25" t="n">
        <f aca="false">Calculations!Q51</f>
        <v>46323758.9221188</v>
      </c>
      <c r="R25" s="25" t="n">
        <f aca="false">Calculations!R51</f>
        <v>43105921.8413212</v>
      </c>
      <c r="S25" s="25" t="n">
        <f aca="false">Calculations!S51</f>
        <v>40003840.3218367</v>
      </c>
      <c r="T25" s="25" t="n">
        <f aca="false">Calculations!T51</f>
        <v>37046949.0214875</v>
      </c>
      <c r="U25" s="25" t="n">
        <f aca="false">Calculations!U51</f>
        <v>34260612.3582762</v>
      </c>
      <c r="V25" s="25" t="n">
        <f aca="false">Calculations!V51</f>
        <v>33745445.6939119</v>
      </c>
      <c r="W25" s="25" t="n">
        <f aca="false">Calculations!W51</f>
        <v>73510087.2001255</v>
      </c>
      <c r="X25" s="25" t="n">
        <f aca="false">Calculations!X51</f>
        <v>73579063.2133655</v>
      </c>
      <c r="Y25" s="25" t="n">
        <f aca="false">Calculations!Y51</f>
        <v>73977204.8087737</v>
      </c>
      <c r="Z25" s="25" t="n">
        <f aca="false">Calculations!Z51</f>
        <v>74652485.0138069</v>
      </c>
      <c r="AA25" s="25" t="n">
        <f aca="false">Calculations!AA51</f>
        <v>75786959.8821927</v>
      </c>
      <c r="AB25" s="25" t="n">
        <f aca="false">Calculations!AB51</f>
        <v>77343996.3198848</v>
      </c>
      <c r="AC25" s="25" t="n">
        <f aca="false">Calculations!AC51</f>
        <v>79378645.9514151</v>
      </c>
      <c r="AD25" s="25" t="n">
        <f aca="false">Calculations!AD51</f>
        <v>81816019.2728263</v>
      </c>
      <c r="AE25" s="25" t="n">
        <f aca="false">Calculations!AE51</f>
        <v>84751287.3576337</v>
      </c>
      <c r="AF25" s="25" t="n">
        <f aca="false">Calculations!AF51</f>
        <v>88149683.5310247</v>
      </c>
      <c r="AG25" s="25" t="n">
        <f aca="false">Calculations!AG51</f>
        <v>92066505.0131738</v>
      </c>
      <c r="AH25" s="25" t="n">
        <f aca="false">Calculations!AH51</f>
        <v>96075200.8123905</v>
      </c>
      <c r="AI25" s="25" t="n">
        <f aca="false">Calculations!AI51</f>
        <v>99766881.350333</v>
      </c>
      <c r="AJ25" s="25" t="n">
        <f aca="false">Calculations!AJ51</f>
        <v>103837318.012774</v>
      </c>
      <c r="AK25" s="25" t="n">
        <f aca="false">Calculations!AK51</f>
        <v>108328199.624605</v>
      </c>
      <c r="AL25" s="25" t="n">
        <f aca="false">Calculations!AL51</f>
        <v>113183762.257089</v>
      </c>
      <c r="AM25" s="25" t="n">
        <f aca="false">Calculations!AM51</f>
        <v>118475793.646006</v>
      </c>
      <c r="AN25" s="25" t="n">
        <f aca="false">Calculations!AN51</f>
        <v>124178637.551595</v>
      </c>
      <c r="AO25" s="25" t="n">
        <f aca="false">Calculations!AO51</f>
        <v>130334194.826605</v>
      </c>
    </row>
    <row r="26" customFormat="false" ht="15" hidden="false" customHeight="false" outlineLevel="0" collapsed="false">
      <c r="A26" s="2" t="n">
        <v>24</v>
      </c>
      <c r="B26" s="2" t="s">
        <v>404</v>
      </c>
      <c r="C26" s="2" t="s">
        <v>405</v>
      </c>
      <c r="D26" s="2" t="s">
        <v>564</v>
      </c>
      <c r="E26" s="2" t="s">
        <v>407</v>
      </c>
      <c r="J26" s="32" t="n">
        <f aca="false">Calculations!J54</f>
        <v>42.7922084902654</v>
      </c>
      <c r="K26" s="32" t="n">
        <f aca="false">Calculations!K54</f>
        <v>20.3737869827677</v>
      </c>
      <c r="L26" s="32" t="n">
        <f aca="false">Calculations!L54</f>
        <v>18.8893065886409</v>
      </c>
      <c r="M26" s="32" t="n">
        <f aca="false">Calculations!M54</f>
        <v>17.0561650490636</v>
      </c>
      <c r="N26" s="32" t="n">
        <f aca="false">Calculations!N54</f>
        <v>16.7435269857222</v>
      </c>
      <c r="O26" s="32" t="n">
        <f aca="false">Calculations!O54</f>
        <v>41.4011004318892</v>
      </c>
      <c r="P26" s="32" t="n">
        <f aca="false">Calculations!P54</f>
        <v>41.5817672953147</v>
      </c>
      <c r="Q26" s="32" t="n">
        <f aca="false">Calculations!Q54</f>
        <v>43.0094688049286</v>
      </c>
      <c r="R26" s="32" t="n">
        <f aca="false">Calculations!R54</f>
        <v>13.3959304834154</v>
      </c>
      <c r="S26" s="32" t="n">
        <f aca="false">Calculations!S54</f>
        <v>12.8958056294036</v>
      </c>
      <c r="T26" s="32" t="n">
        <f aca="false">Calculations!T54</f>
        <v>12.529019587941</v>
      </c>
      <c r="U26" s="32" t="n">
        <f aca="false">Calculations!U54</f>
        <v>12.2959342317198</v>
      </c>
      <c r="V26" s="32" t="n">
        <f aca="false">Calculations!V54</f>
        <v>65.5039388768517</v>
      </c>
      <c r="W26" s="32" t="n">
        <f aca="false">Calculations!W54</f>
        <v>312.332416890954</v>
      </c>
      <c r="X26" s="32" t="n">
        <f aca="false">Calculations!X54</f>
        <v>0</v>
      </c>
      <c r="Y26" s="32" t="n">
        <f aca="false">Calculations!Y54</f>
        <v>0</v>
      </c>
      <c r="Z26" s="32" t="n">
        <f aca="false">Calculations!Z54</f>
        <v>0</v>
      </c>
      <c r="AA26" s="32" t="n">
        <f aca="false">Calculations!AA54</f>
        <v>0</v>
      </c>
      <c r="AB26" s="32" t="n">
        <f aca="false">Calculations!AB54</f>
        <v>0</v>
      </c>
      <c r="AC26" s="32" t="n">
        <f aca="false">Calculations!AC54</f>
        <v>0</v>
      </c>
      <c r="AD26" s="32" t="n">
        <f aca="false">Calculations!AD54</f>
        <v>0</v>
      </c>
      <c r="AE26" s="32" t="n">
        <f aca="false">Calculations!AE54</f>
        <v>0</v>
      </c>
      <c r="AF26" s="32" t="n">
        <f aca="false">Calculations!AF54</f>
        <v>0</v>
      </c>
      <c r="AG26" s="32" t="n">
        <f aca="false">Calculations!AG54</f>
        <v>0</v>
      </c>
      <c r="AH26" s="32" t="n">
        <f aca="false">Calculations!AH54</f>
        <v>0</v>
      </c>
      <c r="AI26" s="32" t="n">
        <f aca="false">Calculations!AI54</f>
        <v>0</v>
      </c>
      <c r="AJ26" s="32" t="n">
        <f aca="false">Calculations!AJ54</f>
        <v>0</v>
      </c>
      <c r="AK26" s="32" t="n">
        <f aca="false">Calculations!AK54</f>
        <v>0</v>
      </c>
      <c r="AL26" s="32" t="n">
        <f aca="false">Calculations!AL54</f>
        <v>0</v>
      </c>
      <c r="AM26" s="32" t="n">
        <f aca="false">Calculations!AM54</f>
        <v>0</v>
      </c>
      <c r="AN26" s="32" t="n">
        <f aca="false">Calculations!AN54</f>
        <v>0</v>
      </c>
      <c r="AO26" s="32" t="n">
        <f aca="false">Calculations!AO54</f>
        <v>0</v>
      </c>
    </row>
    <row r="27" customFormat="false" ht="15" hidden="false" customHeight="false" outlineLevel="0" collapsed="false">
      <c r="A27" s="2" t="n">
        <v>25</v>
      </c>
      <c r="B27" s="2" t="s">
        <v>409</v>
      </c>
      <c r="C27" s="2" t="s">
        <v>410</v>
      </c>
      <c r="D27" s="2" t="s">
        <v>561</v>
      </c>
      <c r="E27" s="2" t="s">
        <v>413</v>
      </c>
      <c r="J27" s="25" t="n">
        <f aca="false">Calculations!J55</f>
        <v>21750</v>
      </c>
      <c r="K27" s="25" t="n">
        <f aca="false">Calculations!K55</f>
        <v>20638.2978723404</v>
      </c>
      <c r="L27" s="25" t="n">
        <f aca="false">Calculations!L55</f>
        <v>21037.7358490566</v>
      </c>
      <c r="M27" s="25" t="n">
        <f aca="false">Calculations!M55</f>
        <v>21000</v>
      </c>
      <c r="N27" s="25" t="n">
        <f aca="false">Calculations!N55</f>
        <v>20970.1492537313</v>
      </c>
      <c r="O27" s="25" t="n">
        <f aca="false">Calculations!O55</f>
        <v>21232.8767123288</v>
      </c>
      <c r="P27" s="25" t="n">
        <f aca="false">Calculations!P55</f>
        <v>21187.5</v>
      </c>
      <c r="Q27" s="25" t="n">
        <f aca="false">Calculations!Q55</f>
        <v>21149.4252873563</v>
      </c>
      <c r="R27" s="25" t="n">
        <f aca="false">Calculations!R55</f>
        <v>21344.0860215054</v>
      </c>
      <c r="S27" s="25" t="n">
        <f aca="false">Calculations!S55</f>
        <v>21300</v>
      </c>
      <c r="T27" s="25" t="n">
        <f aca="false">Calculations!T55</f>
        <v>21261.6822429907</v>
      </c>
      <c r="U27" s="25" t="n">
        <f aca="false">Calculations!U55</f>
        <v>21415.9292035398</v>
      </c>
      <c r="V27" s="25" t="n">
        <f aca="false">Calculations!V55</f>
        <v>21375</v>
      </c>
      <c r="W27" s="25" t="n">
        <f aca="false">Calculations!W55</f>
        <v>21338.5826771654</v>
      </c>
      <c r="X27" s="25" t="n">
        <f aca="false">Calculations!X55</f>
        <v>21466.1654135338</v>
      </c>
      <c r="Y27" s="25" t="n">
        <f aca="false">Calculations!Y55</f>
        <v>21428.5714285714</v>
      </c>
      <c r="Z27" s="25" t="n">
        <f aca="false">Calculations!Z55</f>
        <v>21394.5578231293</v>
      </c>
      <c r="AA27" s="25" t="n">
        <f aca="false">Calculations!AA55</f>
        <v>21225.1655629139</v>
      </c>
      <c r="AB27" s="25" t="n">
        <f aca="false">Calculations!AB55</f>
        <v>21354.8387096774</v>
      </c>
      <c r="AC27" s="25" t="n">
        <f aca="false">Calculations!AC55</f>
        <v>21194.9685534591</v>
      </c>
      <c r="AD27" s="25" t="n">
        <f aca="false">Calculations!AD55</f>
        <v>21319.018404908</v>
      </c>
      <c r="AE27" s="25" t="n">
        <f aca="false">Calculations!AE55</f>
        <v>21167.6646706587</v>
      </c>
      <c r="AF27" s="25" t="n">
        <f aca="false">Calculations!AF55</f>
        <v>21286.5497076023</v>
      </c>
      <c r="AG27" s="25" t="n">
        <f aca="false">Calculations!AG55</f>
        <v>21142.8571428571</v>
      </c>
      <c r="AH27" s="25" t="n">
        <f aca="false">Calculations!AH55</f>
        <v>21256.9832402235</v>
      </c>
      <c r="AI27" s="25" t="n">
        <f aca="false">Calculations!AI55</f>
        <v>21120.218579235</v>
      </c>
      <c r="AJ27" s="25" t="n">
        <f aca="false">Calculations!AJ55</f>
        <v>21229.9465240642</v>
      </c>
      <c r="AK27" s="25" t="n">
        <f aca="false">Calculations!AK55</f>
        <v>21099.4764397906</v>
      </c>
      <c r="AL27" s="25" t="n">
        <f aca="false">Calculations!AL55</f>
        <v>21205.1282051282</v>
      </c>
      <c r="AM27" s="25" t="n">
        <f aca="false">Calculations!AM55</f>
        <v>21080.4020100503</v>
      </c>
      <c r="AN27" s="25" t="n">
        <f aca="false">Calculations!AN55</f>
        <v>21182.2660098522</v>
      </c>
      <c r="AO27" s="25" t="n">
        <f aca="false">Calculations!AO55</f>
        <v>21062.8019323672</v>
      </c>
    </row>
    <row r="28" customFormat="false" ht="15" hidden="false" customHeight="false" outlineLevel="0" collapsed="false">
      <c r="A28" s="2" t="n">
        <v>26</v>
      </c>
      <c r="B28" s="2" t="s">
        <v>428</v>
      </c>
      <c r="C28" s="2" t="s">
        <v>429</v>
      </c>
      <c r="D28" s="2" t="s">
        <v>565</v>
      </c>
      <c r="E28" s="2" t="s">
        <v>432</v>
      </c>
      <c r="J28" s="33" t="n">
        <f aca="false">Calculations!J59</f>
        <v>5.82758620689655</v>
      </c>
      <c r="K28" s="33" t="n">
        <f aca="false">Calculations!K59</f>
        <v>6.19082028429919</v>
      </c>
      <c r="L28" s="33" t="n">
        <f aca="false">Calculations!L59</f>
        <v>6.12202461590781</v>
      </c>
      <c r="M28" s="33" t="n">
        <f aca="false">Calculations!M59</f>
        <v>6.18222318528562</v>
      </c>
      <c r="N28" s="33" t="n">
        <f aca="false">Calculations!N59</f>
        <v>6.24065658362989</v>
      </c>
      <c r="O28" s="33" t="n">
        <f aca="false">Calculations!O59</f>
        <v>6.21281961374279</v>
      </c>
      <c r="P28" s="33" t="n">
        <f aca="false">Calculations!P59</f>
        <v>6.27598078266985</v>
      </c>
      <c r="Q28" s="33" t="n">
        <f aca="false">Calculations!Q59</f>
        <v>6.33759478929474</v>
      </c>
      <c r="R28" s="33" t="n">
        <f aca="false">Calculations!R59</f>
        <v>6.3300215743073</v>
      </c>
      <c r="S28" s="33" t="n">
        <f aca="false">Calculations!S59</f>
        <v>6.39382694278755</v>
      </c>
      <c r="T28" s="33" t="n">
        <f aca="false">Calculations!T59</f>
        <v>6.45652171587024</v>
      </c>
      <c r="U28" s="33" t="n">
        <f aca="false">Calculations!U59</f>
        <v>6.461199082587</v>
      </c>
      <c r="V28" s="33" t="n">
        <f aca="false">Calculations!V59</f>
        <v>6.52522950877192</v>
      </c>
      <c r="W28" s="33" t="n">
        <f aca="false">Calculations!W59</f>
        <v>6.5884961257648</v>
      </c>
      <c r="X28" s="33" t="n">
        <f aca="false">Calculations!X59</f>
        <v>6.60154274326013</v>
      </c>
      <c r="Y28" s="33" t="n">
        <f aca="false">Calculations!Y59</f>
        <v>6.66580878069584</v>
      </c>
      <c r="Z28" s="33" t="n">
        <f aca="false">Calculations!Z59</f>
        <v>6.72956577849204</v>
      </c>
      <c r="AA28" s="33" t="n">
        <f aca="false">Calculations!AA59</f>
        <v>6.83725382243036</v>
      </c>
      <c r="AB28" s="33" t="n">
        <f aca="false">Calculations!AB59</f>
        <v>6.84978728967817</v>
      </c>
      <c r="AC28" s="33" t="n">
        <f aca="false">Calculations!AC59</f>
        <v>6.95631710903703</v>
      </c>
      <c r="AD28" s="33" t="n">
        <f aca="false">Calculations!AD59</f>
        <v>6.97078842351683</v>
      </c>
      <c r="AE28" s="33" t="n">
        <f aca="false">Calculations!AE59</f>
        <v>7.07638287163927</v>
      </c>
      <c r="AF28" s="33" t="n">
        <f aca="false">Calculations!AF59</f>
        <v>7.09271290667434</v>
      </c>
      <c r="AG28" s="33" t="n">
        <f aca="false">Calculations!AG59</f>
        <v>7.19756506970292</v>
      </c>
      <c r="AH28" s="33" t="n">
        <f aca="false">Calculations!AH59</f>
        <v>7.21568418082793</v>
      </c>
      <c r="AI28" s="33" t="n">
        <f aca="false">Calculations!AI59</f>
        <v>7.31996281758625</v>
      </c>
      <c r="AJ28" s="33" t="n">
        <f aca="false">Calculations!AJ59</f>
        <v>7.3398096998756</v>
      </c>
      <c r="AK28" s="33" t="n">
        <f aca="false">Calculations!AK59</f>
        <v>7.44366350485902</v>
      </c>
      <c r="AL28" s="33" t="n">
        <f aca="false">Calculations!AL59</f>
        <v>7.46518419970128</v>
      </c>
      <c r="AM28" s="33" t="n">
        <f aca="false">Calculations!AM59</f>
        <v>7.5687451816244</v>
      </c>
      <c r="AN28" s="33" t="n">
        <f aca="false">Calculations!AN59</f>
        <v>7.59189221649489</v>
      </c>
      <c r="AO28" s="33" t="n">
        <f aca="false">Calculations!AO59</f>
        <v>7.69527840357377</v>
      </c>
    </row>
    <row r="29" customFormat="false" ht="15" hidden="false" customHeight="false" outlineLevel="0" collapsed="false">
      <c r="A29" s="2" t="n">
        <v>27</v>
      </c>
      <c r="B29" s="2" t="s">
        <v>433</v>
      </c>
      <c r="C29" s="2" t="s">
        <v>434</v>
      </c>
      <c r="D29" s="2" t="s">
        <v>564</v>
      </c>
      <c r="E29" s="2" t="s">
        <v>436</v>
      </c>
      <c r="J29" s="32" t="n">
        <f aca="false">Calculations!J60</f>
        <v>12.8698224852071</v>
      </c>
      <c r="K29" s="32" t="n">
        <f aca="false">Calculations!K60</f>
        <v>12.1147112265899</v>
      </c>
      <c r="L29" s="32" t="n">
        <f aca="false">Calculations!L60</f>
        <v>12.2508491398607</v>
      </c>
      <c r="M29" s="32" t="n">
        <f aca="false">Calculations!M60</f>
        <v>12.1315581389084</v>
      </c>
      <c r="N29" s="32" t="n">
        <f aca="false">Calculations!N60</f>
        <v>12.0179662179674</v>
      </c>
      <c r="O29" s="32" t="n">
        <f aca="false">Calculations!O60</f>
        <v>12.0718135505012</v>
      </c>
      <c r="P29" s="32" t="n">
        <f aca="false">Calculations!P60</f>
        <v>11.950323399189</v>
      </c>
      <c r="Q29" s="32" t="n">
        <f aca="false">Calculations!Q60</f>
        <v>11.8341425246511</v>
      </c>
      <c r="R29" s="32" t="n">
        <f aca="false">Calculations!R60</f>
        <v>11.8483008500974</v>
      </c>
      <c r="S29" s="32" t="n">
        <f aca="false">Calculations!S60</f>
        <v>11.7300641182668</v>
      </c>
      <c r="T29" s="32" t="n">
        <f aca="false">Calculations!T60</f>
        <v>11.6161616580099</v>
      </c>
      <c r="U29" s="32" t="n">
        <f aca="false">Calculations!U60</f>
        <v>11.6077525303509</v>
      </c>
      <c r="V29" s="32" t="n">
        <f aca="false">Calculations!V60</f>
        <v>11.4938485917127</v>
      </c>
      <c r="W29" s="32" t="n">
        <f aca="false">Calculations!W60</f>
        <v>11.3834778936436</v>
      </c>
      <c r="X29" s="32" t="n">
        <f aca="false">Calculations!X60</f>
        <v>11.3609807459887</v>
      </c>
      <c r="Y29" s="32" t="n">
        <f aca="false">Calculations!Y60</f>
        <v>11.2514478688917</v>
      </c>
      <c r="Z29" s="32" t="n">
        <f aca="false">Calculations!Z60</f>
        <v>11.1448498266713</v>
      </c>
      <c r="AA29" s="32" t="n">
        <f aca="false">Calculations!AA60</f>
        <v>10.9693163290142</v>
      </c>
      <c r="AB29" s="32" t="n">
        <f aca="false">Calculations!AB60</f>
        <v>10.9492451120367</v>
      </c>
      <c r="AC29" s="32" t="n">
        <f aca="false">Calculations!AC60</f>
        <v>10.781567146007</v>
      </c>
      <c r="AD29" s="32" t="n">
        <f aca="false">Calculations!AD60</f>
        <v>10.7591846780169</v>
      </c>
      <c r="AE29" s="32" t="n">
        <f aca="false">Calculations!AE60</f>
        <v>10.5986351163368</v>
      </c>
      <c r="AF29" s="32" t="n">
        <f aca="false">Calculations!AF60</f>
        <v>10.5742331582918</v>
      </c>
      <c r="AG29" s="32" t="n">
        <f aca="false">Calculations!AG60</f>
        <v>10.4201906163657</v>
      </c>
      <c r="AH29" s="32" t="n">
        <f aca="false">Calculations!AH60</f>
        <v>10.3940247550295</v>
      </c>
      <c r="AI29" s="32" t="n">
        <f aca="false">Calculations!AI60</f>
        <v>10.2459536843291</v>
      </c>
      <c r="AJ29" s="32" t="n">
        <f aca="false">Calculations!AJ60</f>
        <v>10.218248574111</v>
      </c>
      <c r="AK29" s="32" t="n">
        <f aca="false">Calculations!AK60</f>
        <v>10.0756838284055</v>
      </c>
      <c r="AL29" s="32" t="n">
        <f aca="false">Calculations!AL60</f>
        <v>10.0466375636118</v>
      </c>
      <c r="AM29" s="32" t="n">
        <f aca="false">Calculations!AM60</f>
        <v>9.90917228685239</v>
      </c>
      <c r="AN29" s="32" t="n">
        <f aca="false">Calculations!AN60</f>
        <v>9.87896006176796</v>
      </c>
      <c r="AO29" s="32" t="n">
        <f aca="false">Calculations!AO60</f>
        <v>9.74623607706893</v>
      </c>
    </row>
    <row r="30" customFormat="false" ht="15" hidden="false" customHeight="false" outlineLevel="0" collapsed="false">
      <c r="A30" s="2" t="n">
        <v>28</v>
      </c>
      <c r="B30" s="2" t="s">
        <v>443</v>
      </c>
      <c r="C30" s="2" t="s">
        <v>444</v>
      </c>
      <c r="D30" s="2" t="s">
        <v>562</v>
      </c>
      <c r="E30" s="2" t="s">
        <v>446</v>
      </c>
      <c r="J30" s="31" t="n">
        <f aca="false">Calculations!J62</f>
        <v>-0.291731391585761</v>
      </c>
      <c r="K30" s="31" t="n">
        <f aca="false">Calculations!K62</f>
        <v>-0.277463025519817</v>
      </c>
      <c r="L30" s="31" t="n">
        <f aca="false">Calculations!L62</f>
        <v>-0.267005574242194</v>
      </c>
      <c r="M30" s="31" t="n">
        <f aca="false">Calculations!M62</f>
        <v>-0.263310467617038</v>
      </c>
      <c r="N30" s="31" t="n">
        <f aca="false">Calculations!N62</f>
        <v>0.109117721351845</v>
      </c>
      <c r="O30" s="31" t="n">
        <f aca="false">Calculations!O62</f>
        <v>0.161243960269927</v>
      </c>
      <c r="P30" s="31" t="n">
        <f aca="false">Calculations!P62</f>
        <v>0.208531271930598</v>
      </c>
      <c r="Q30" s="31" t="n">
        <f aca="false">Calculations!Q62</f>
        <v>0.252328506823253</v>
      </c>
      <c r="R30" s="31" t="n">
        <f aca="false">Calculations!R62</f>
        <v>-0.0322865712532047</v>
      </c>
      <c r="S30" s="31" t="n">
        <f aca="false">Calculations!S62</f>
        <v>0.0275292632597094</v>
      </c>
      <c r="T30" s="31" t="n">
        <f aca="false">Calculations!T62</f>
        <v>0.0819161419054519</v>
      </c>
      <c r="U30" s="31" t="n">
        <f aca="false">Calculations!U62</f>
        <v>0.128959004756962</v>
      </c>
      <c r="V30" s="31" t="n">
        <f aca="false">Calculations!V62</f>
        <v>0.383336840113945</v>
      </c>
      <c r="W30" s="31" t="n">
        <f aca="false">Calculations!W62</f>
        <v>0.412394835647318</v>
      </c>
      <c r="X30" s="31" t="n">
        <f aca="false">Calculations!X62</f>
        <v>0.437203267907657</v>
      </c>
      <c r="Y30" s="31" t="n">
        <f aca="false">Calculations!Y62</f>
        <v>0.459233816402386</v>
      </c>
      <c r="Z30" s="31" t="n">
        <f aca="false">Calculations!Z62</f>
        <v>0.471215439423506</v>
      </c>
      <c r="AA30" s="31" t="n">
        <f aca="false">Calculations!AA62</f>
        <v>0.496460834709356</v>
      </c>
      <c r="AB30" s="31" t="n">
        <f aca="false">Calculations!AB62</f>
        <v>0.511779090035128</v>
      </c>
      <c r="AC30" s="31" t="n">
        <f aca="false">Calculations!AC62</f>
        <v>0.526908828492198</v>
      </c>
      <c r="AD30" s="31" t="n">
        <f aca="false">Calculations!AD62</f>
        <v>0.531031932050632</v>
      </c>
      <c r="AE30" s="31" t="n">
        <f aca="false">Calculations!AE62</f>
        <v>0.540466735526634</v>
      </c>
      <c r="AF30" s="31" t="n">
        <f aca="false">Calculations!AF62</f>
        <v>0.546212753513576</v>
      </c>
      <c r="AG30" s="31" t="n">
        <f aca="false">Calculations!AG62</f>
        <v>0.554938709424679</v>
      </c>
      <c r="AH30" s="31" t="n">
        <f aca="false">Calculations!AH62</f>
        <v>0.557715816548716</v>
      </c>
      <c r="AI30" s="31" t="n">
        <f aca="false">Calculations!AI62</f>
        <v>0.565858113868341</v>
      </c>
      <c r="AJ30" s="31" t="n">
        <f aca="false">Calculations!AJ62</f>
        <v>0.57094365007833</v>
      </c>
      <c r="AK30" s="31" t="n">
        <f aca="false">Calculations!AK62</f>
        <v>0.578403904413395</v>
      </c>
      <c r="AL30" s="31" t="n">
        <f aca="false">Calculations!AL62</f>
        <v>0.580945908719796</v>
      </c>
      <c r="AM30" s="31" t="n">
        <f aca="false">Calculations!AM62</f>
        <v>0.58788527004897</v>
      </c>
      <c r="AN30" s="31" t="n">
        <f aca="false">Calculations!AN62</f>
        <v>0.592283385842753</v>
      </c>
      <c r="AO30" s="31" t="n">
        <f aca="false">Calculations!AO62</f>
        <v>0.598664383235445</v>
      </c>
    </row>
    <row r="31" customFormat="false" ht="15" hidden="false" customHeight="false" outlineLevel="0" collapsed="false">
      <c r="A31" s="2" t="n">
        <v>29</v>
      </c>
      <c r="B31" s="2" t="s">
        <v>507</v>
      </c>
      <c r="C31" s="2" t="s">
        <v>508</v>
      </c>
      <c r="D31" s="2" t="s">
        <v>561</v>
      </c>
      <c r="E31" s="2" t="s">
        <v>510</v>
      </c>
      <c r="I31" s="25" t="n">
        <f aca="false">Calculations!I77</f>
        <v>51239654.5530028</v>
      </c>
    </row>
    <row r="32" customFormat="false" ht="15" hidden="false" customHeight="false" outlineLevel="0" collapsed="false">
      <c r="A32" s="2" t="n">
        <v>30</v>
      </c>
      <c r="B32" s="2" t="s">
        <v>531</v>
      </c>
      <c r="C32" s="2" t="s">
        <v>532</v>
      </c>
      <c r="D32" s="2" t="s">
        <v>562</v>
      </c>
      <c r="E32" s="2" t="s">
        <v>534</v>
      </c>
      <c r="I32" s="31" t="n">
        <f aca="false">Calculations!I82</f>
        <v>0.533715367146039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2026-10-01T23:43:26Z</dcterms:created>
  <dc:creator>openpyxl</dc:creator>
  <dc:description/>
  <dc:language>en-US</dc:language>
  <cp:lastModifiedBy/>
  <dcterms:modified xsi:type="dcterms:W3CDTF">2026-10-01T23:43:26Z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